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8_{A3497242-A0E0-4609-BAD0-4DF84F987358}" xr6:coauthVersionLast="47" xr6:coauthVersionMax="47" xr10:uidLastSave="{00000000-0000-0000-0000-000000000000}"/>
  <bookViews>
    <workbookView xWindow="28680" yWindow="-120" windowWidth="29040" windowHeight="15720" firstSheet="3" activeTab="4" xr2:uid="{00000000-000D-0000-FFFF-FFFF00000000}"/>
  </bookViews>
  <sheets>
    <sheet name="Siwei" sheetId="2" state="hidden" r:id="rId1"/>
    <sheet name="Sheet3" sheetId="5" state="hidden" r:id="rId2"/>
    <sheet name="QG" sheetId="3" state="hidden" r:id="rId3"/>
    <sheet name="2025-1&amp;2&amp;3线" sheetId="17" r:id="rId4"/>
    <sheet name="2025-4&amp;5&amp;轮线" sheetId="15" r:id="rId5"/>
    <sheet name="Sheet1" sheetId="16" state="hidden" r:id="rId6"/>
    <sheet name="20200227" sheetId="14" state="hidden" r:id="rId7"/>
    <sheet name="QG 20171011-Line345" sheetId="11" state="hidden" r:id="rId8"/>
  </sheets>
  <definedNames>
    <definedName name="_xlnm._FilterDatabase" localSheetId="6" hidden="1">'20200227'!$A$9:$L$9</definedName>
    <definedName name="_xlnm._FilterDatabase" localSheetId="3" hidden="1">'2025-1&amp;2&amp;3线'!#REF!</definedName>
    <definedName name="_xlnm._FilterDatabase" localSheetId="4" hidden="1">'2025-4&amp;5&amp;轮线'!#REF!</definedName>
    <definedName name="_xlnm.Print_Area" localSheetId="6">'20200227'!$A$1:$I$44</definedName>
    <definedName name="_xlnm.Print_Area" localSheetId="3">'2025-1&amp;2&amp;3线'!$A$1:$G$21</definedName>
    <definedName name="_xlnm.Print_Area" localSheetId="4">'2025-4&amp;5&amp;轮线'!$A$1:$G$22</definedName>
    <definedName name="_xlnm.Print_Area" localSheetId="2">QG!$A$1:$J$43</definedName>
    <definedName name="_xlnm.Print_Area" localSheetId="7">'QG 20171011-Line345'!$A$1:$J$41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" i="15" l="1"/>
  <c r="G38" i="15"/>
  <c r="G44" i="15"/>
  <c r="G28" i="15"/>
  <c r="G27" i="15"/>
  <c r="G4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51" i="17"/>
  <c r="G43" i="17"/>
  <c r="G44" i="17"/>
  <c r="G45" i="17"/>
  <c r="G46" i="17"/>
  <c r="G47" i="17"/>
  <c r="G48" i="17"/>
  <c r="G49" i="17"/>
  <c r="G50" i="17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9" i="15"/>
  <c r="G30" i="15"/>
  <c r="G31" i="15"/>
  <c r="G32" i="15"/>
  <c r="G33" i="15"/>
  <c r="G34" i="15"/>
  <c r="G35" i="15"/>
  <c r="G36" i="15"/>
  <c r="G39" i="15"/>
  <c r="G40" i="15"/>
  <c r="G41" i="15"/>
  <c r="G42" i="15"/>
  <c r="G43" i="15"/>
  <c r="G45" i="15"/>
  <c r="G7" i="15"/>
  <c r="G3" i="15"/>
  <c r="G4" i="15"/>
  <c r="G5" i="15"/>
  <c r="G6" i="15"/>
  <c r="G2" i="17"/>
  <c r="G2" i="15"/>
  <c r="D25" i="16"/>
  <c r="C25" i="16"/>
  <c r="D26" i="16"/>
  <c r="C26" i="16"/>
  <c r="E3" i="14"/>
  <c r="E5" i="14"/>
  <c r="E8" i="14"/>
  <c r="H22" i="14"/>
  <c r="H21" i="14"/>
  <c r="H14" i="14"/>
  <c r="I12" i="14"/>
  <c r="H34" i="14"/>
  <c r="H32" i="14"/>
  <c r="H28" i="14"/>
  <c r="G41" i="14"/>
  <c r="H41" i="14"/>
  <c r="H40" i="14"/>
  <c r="H31" i="14"/>
  <c r="H33" i="14"/>
  <c r="F5" i="14"/>
  <c r="F4" i="14"/>
  <c r="L6" i="14"/>
  <c r="L7" i="14"/>
  <c r="F8" i="14"/>
  <c r="F7" i="14"/>
  <c r="H39" i="14"/>
  <c r="H38" i="14"/>
  <c r="G81" i="14"/>
  <c r="G80" i="14"/>
  <c r="H15" i="14"/>
  <c r="H16" i="14"/>
  <c r="H17" i="14"/>
  <c r="H18" i="14"/>
  <c r="H19" i="14"/>
  <c r="H20" i="14"/>
  <c r="H23" i="14"/>
  <c r="H24" i="14"/>
  <c r="H25" i="14"/>
  <c r="H26" i="14"/>
  <c r="H27" i="14"/>
  <c r="H29" i="14"/>
  <c r="H30" i="14"/>
  <c r="H35" i="14"/>
  <c r="H36" i="14"/>
  <c r="H37" i="14"/>
  <c r="H42" i="14"/>
  <c r="E9" i="14"/>
  <c r="H62" i="14"/>
  <c r="H63" i="14"/>
  <c r="H64" i="14"/>
  <c r="H65" i="14"/>
  <c r="H72" i="14"/>
  <c r="H73" i="14"/>
  <c r="H74" i="14"/>
  <c r="H75" i="14"/>
  <c r="H76" i="14"/>
  <c r="H77" i="14"/>
  <c r="G9" i="14"/>
  <c r="I9" i="14"/>
  <c r="E2" i="14"/>
  <c r="E6" i="14"/>
  <c r="I6" i="14"/>
  <c r="G82" i="14"/>
  <c r="H82" i="14"/>
  <c r="G8" i="14"/>
  <c r="H81" i="14"/>
  <c r="H80" i="14"/>
  <c r="G79" i="14"/>
  <c r="H79" i="14"/>
  <c r="G78" i="14"/>
  <c r="H78" i="14"/>
  <c r="G71" i="14"/>
  <c r="H71" i="14"/>
  <c r="G70" i="14"/>
  <c r="H70" i="14"/>
  <c r="G69" i="14"/>
  <c r="H69" i="14"/>
  <c r="G68" i="14"/>
  <c r="H68" i="14"/>
  <c r="G67" i="14"/>
  <c r="H67" i="14"/>
  <c r="G66" i="14"/>
  <c r="H66" i="14"/>
  <c r="G61" i="14"/>
  <c r="H61" i="14"/>
  <c r="G60" i="14"/>
  <c r="H60" i="14"/>
  <c r="G59" i="14"/>
  <c r="H59" i="14"/>
  <c r="G58" i="14"/>
  <c r="H58" i="14"/>
  <c r="G57" i="14"/>
  <c r="H57" i="14"/>
  <c r="G56" i="14"/>
  <c r="H56" i="14"/>
  <c r="G55" i="14"/>
  <c r="H55" i="14"/>
  <c r="G54" i="14"/>
  <c r="H54" i="14"/>
  <c r="G53" i="14"/>
  <c r="H53" i="14"/>
  <c r="G52" i="14"/>
  <c r="H52" i="14"/>
  <c r="G51" i="14"/>
  <c r="H51" i="14"/>
  <c r="G50" i="14"/>
  <c r="H50" i="14"/>
  <c r="G49" i="14"/>
  <c r="H49" i="14"/>
  <c r="G48" i="14"/>
  <c r="H48" i="14"/>
  <c r="G47" i="14"/>
  <c r="H47" i="14"/>
  <c r="G46" i="14"/>
  <c r="H46" i="14"/>
  <c r="G45" i="14"/>
  <c r="H45" i="14"/>
  <c r="G44" i="14"/>
  <c r="H44" i="14"/>
  <c r="G43" i="14"/>
  <c r="H43" i="14"/>
  <c r="G2" i="14"/>
  <c r="I2" i="14"/>
  <c r="H2" i="14"/>
  <c r="G3" i="14"/>
  <c r="H3" i="14"/>
  <c r="E7" i="14"/>
  <c r="H6" i="14"/>
  <c r="G6" i="14"/>
  <c r="E4" i="14"/>
  <c r="H4" i="14"/>
  <c r="H9" i="14"/>
  <c r="G7" i="14"/>
  <c r="I7" i="14"/>
  <c r="H11" i="14"/>
  <c r="H5" i="14"/>
  <c r="H10" i="14"/>
  <c r="G5" i="14"/>
  <c r="G12" i="14"/>
  <c r="G4" i="14"/>
  <c r="G11" i="14"/>
  <c r="I4" i="14"/>
  <c r="H31" i="11"/>
  <c r="G31" i="11"/>
  <c r="G41" i="11"/>
  <c r="G40" i="11"/>
  <c r="G39" i="11"/>
  <c r="G38" i="11"/>
  <c r="G37" i="11"/>
  <c r="G36" i="11"/>
  <c r="G35" i="11"/>
  <c r="H34" i="11"/>
  <c r="G34" i="11"/>
  <c r="H33" i="11"/>
  <c r="G33" i="11"/>
  <c r="H32" i="11"/>
  <c r="G32" i="11"/>
  <c r="H30" i="11"/>
  <c r="G30" i="11"/>
  <c r="H29" i="11"/>
  <c r="G29" i="11"/>
  <c r="H28" i="11"/>
  <c r="G28" i="11"/>
  <c r="H27" i="11"/>
  <c r="G27" i="11"/>
  <c r="H26" i="11"/>
  <c r="G26" i="11"/>
  <c r="H25" i="11"/>
  <c r="G25" i="11"/>
  <c r="H24" i="11"/>
  <c r="G24" i="11"/>
  <c r="H23" i="11"/>
  <c r="G23" i="11"/>
  <c r="H22" i="11"/>
  <c r="G22" i="11"/>
  <c r="H21" i="11"/>
  <c r="G21" i="11"/>
  <c r="H20" i="11"/>
  <c r="G20" i="11"/>
  <c r="H19" i="11"/>
  <c r="G19" i="11"/>
  <c r="H18" i="11"/>
  <c r="G18" i="11"/>
  <c r="H17" i="11"/>
  <c r="G17" i="11"/>
  <c r="H15" i="11"/>
  <c r="G15" i="11"/>
  <c r="H14" i="11"/>
  <c r="G14" i="11"/>
  <c r="H13" i="11"/>
  <c r="G13" i="11"/>
  <c r="H12" i="11"/>
  <c r="G12" i="11"/>
  <c r="H11" i="11"/>
  <c r="G11" i="11"/>
  <c r="H10" i="11"/>
  <c r="G10" i="11"/>
  <c r="H9" i="11"/>
  <c r="G9" i="11"/>
  <c r="E4" i="11"/>
  <c r="H12" i="14"/>
  <c r="G10" i="14"/>
  <c r="E5" i="11"/>
  <c r="J4" i="11"/>
  <c r="I10" i="14"/>
  <c r="I11" i="14"/>
  <c r="E6" i="11"/>
  <c r="E3" i="11"/>
  <c r="J3" i="11"/>
  <c r="E8" i="11"/>
  <c r="E7" i="11"/>
  <c r="J5" i="11"/>
  <c r="J7" i="11"/>
  <c r="J8" i="11"/>
  <c r="J6" i="11"/>
  <c r="H19" i="5"/>
  <c r="H23" i="5"/>
  <c r="G38" i="3"/>
  <c r="H28" i="5"/>
  <c r="C15" i="5"/>
  <c r="C24" i="5"/>
  <c r="C19" i="5"/>
  <c r="H15" i="5"/>
  <c r="C17" i="5"/>
  <c r="C26" i="5"/>
  <c r="H26" i="5"/>
  <c r="H16" i="5"/>
  <c r="C16" i="5"/>
  <c r="C25" i="5"/>
  <c r="H25" i="5"/>
  <c r="H17" i="5"/>
  <c r="H24" i="5"/>
  <c r="C23" i="5"/>
  <c r="C14" i="5"/>
  <c r="C8" i="2"/>
  <c r="C7" i="2"/>
  <c r="C27" i="5"/>
  <c r="D23" i="5"/>
  <c r="I23" i="5"/>
  <c r="C18" i="5"/>
  <c r="D14" i="5"/>
  <c r="H18" i="5"/>
  <c r="H14" i="5"/>
  <c r="C6" i="2"/>
  <c r="I14" i="5"/>
  <c r="C23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O8" i="5"/>
  <c r="K8" i="5"/>
  <c r="G8" i="5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E6" i="3"/>
  <c r="G32" i="3"/>
  <c r="G33" i="3"/>
  <c r="G34" i="3"/>
  <c r="G35" i="3"/>
  <c r="G36" i="3"/>
  <c r="G37" i="3"/>
  <c r="G39" i="3"/>
  <c r="G40" i="3"/>
  <c r="G41" i="3"/>
  <c r="G42" i="3"/>
  <c r="G43" i="3"/>
  <c r="G11" i="3"/>
  <c r="G12" i="3"/>
  <c r="G13" i="3"/>
  <c r="G14" i="3"/>
  <c r="G15" i="3"/>
  <c r="G16" i="3"/>
  <c r="C3" i="2"/>
  <c r="C4" i="2"/>
  <c r="C5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4" i="2"/>
  <c r="C25" i="2"/>
  <c r="C26" i="2"/>
  <c r="C27" i="2"/>
  <c r="C38" i="2"/>
  <c r="C28" i="2"/>
  <c r="C29" i="2"/>
  <c r="C30" i="2"/>
  <c r="C31" i="2"/>
  <c r="C32" i="2"/>
  <c r="C33" i="2"/>
  <c r="C34" i="2"/>
  <c r="C35" i="2"/>
  <c r="C36" i="2"/>
  <c r="C37" i="2"/>
  <c r="C2" i="2"/>
  <c r="G10" i="3"/>
  <c r="H34" i="3"/>
  <c r="H33" i="3"/>
  <c r="H19" i="3"/>
  <c r="E8" i="3"/>
  <c r="C5" i="5"/>
  <c r="W5" i="5"/>
  <c r="S5" i="5"/>
  <c r="C39" i="2"/>
  <c r="C40" i="2"/>
  <c r="C45" i="2"/>
  <c r="E4" i="3"/>
  <c r="E5" i="3"/>
  <c r="O6" i="5"/>
  <c r="K4" i="5"/>
  <c r="J6" i="3"/>
  <c r="O4" i="5"/>
  <c r="G4" i="5"/>
  <c r="E7" i="3"/>
  <c r="E9" i="3"/>
  <c r="H21" i="3"/>
  <c r="H29" i="3"/>
  <c r="H30" i="3"/>
  <c r="H31" i="3"/>
  <c r="H32" i="3"/>
  <c r="H28" i="3"/>
  <c r="H23" i="3"/>
  <c r="H24" i="3"/>
  <c r="H25" i="3"/>
  <c r="H26" i="3"/>
  <c r="H27" i="3"/>
  <c r="H22" i="3"/>
  <c r="H18" i="3"/>
  <c r="H20" i="3"/>
  <c r="H16" i="3"/>
  <c r="H15" i="3"/>
  <c r="H14" i="3"/>
  <c r="H13" i="3"/>
  <c r="H10" i="3"/>
  <c r="H11" i="3"/>
  <c r="H12" i="3"/>
  <c r="G3" i="5"/>
  <c r="S3" i="5"/>
  <c r="W3" i="5"/>
  <c r="C8" i="5"/>
  <c r="S8" i="5"/>
  <c r="W8" i="5"/>
  <c r="W6" i="5"/>
  <c r="S6" i="5"/>
  <c r="G5" i="5"/>
  <c r="C7" i="5"/>
  <c r="S7" i="5"/>
  <c r="W7" i="5"/>
  <c r="J8" i="3"/>
  <c r="E3" i="3"/>
  <c r="J3" i="3"/>
  <c r="S4" i="5"/>
  <c r="W4" i="5"/>
  <c r="C3" i="5"/>
  <c r="G6" i="5"/>
  <c r="O5" i="5"/>
  <c r="C6" i="5"/>
  <c r="K6" i="5"/>
  <c r="J5" i="3"/>
  <c r="C4" i="5"/>
  <c r="K5" i="5"/>
  <c r="J7" i="3"/>
  <c r="O7" i="5"/>
  <c r="K7" i="5"/>
  <c r="G7" i="5"/>
  <c r="J9" i="3"/>
  <c r="O3" i="5"/>
  <c r="K3" i="5"/>
  <c r="J4" i="3"/>
  <c r="T3" i="5"/>
  <c r="H3" i="5"/>
  <c r="X3" i="5"/>
  <c r="L3" i="5"/>
  <c r="P3" i="5"/>
  <c r="D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3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开班检测/工艺检测两条线需要送一次，待处理区域巡检以两条线的巡检时间为单位时间，去除重复计算后的结果。</t>
        </r>
      </text>
    </comment>
    <comment ref="F3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常规 2号线和5号线装配，增加3号线和四号线销售件
</t>
        </r>
      </text>
    </comment>
    <comment ref="H3" authorId="0" shapeId="0" xr:uid="{00000000-0006-0000-0200-000003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开班检测/工艺检测两条线需要送一次，待处理区域巡检以两条线的巡检时间为单位时间，去除重复计算后的结果。</t>
        </r>
      </text>
    </comment>
    <comment ref="L3" authorId="0" shapeId="0" xr:uid="{00000000-0006-0000-0200-000004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开班检测/工艺检测两条线需要送一次，待处理区域巡检以两条线的巡检时间为单位时间，去除重复计算后的结果。</t>
        </r>
      </text>
    </comment>
    <comment ref="N3" authorId="0" shapeId="0" xr:uid="{00000000-0006-0000-0200-000005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常规 2号线和5号线装配，增加3号线和四号线销售件
</t>
        </r>
      </text>
    </comment>
    <comment ref="P3" authorId="0" shapeId="0" xr:uid="{00000000-0006-0000-0200-000006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开班检测/工艺检测两条线需要送一次，待处理区域巡检以两条线的巡检时间为单位时间，去除重复计算后的结果。</t>
        </r>
      </text>
    </comment>
    <comment ref="T3" authorId="0" shapeId="0" xr:uid="{00000000-0006-0000-0200-000007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开班检测/工艺检测，待处理区域巡检1条线与两条线所需要的时间区别不大，因此去除</t>
        </r>
      </text>
    </comment>
    <comment ref="V3" authorId="0" shapeId="0" xr:uid="{00000000-0006-0000-0200-000008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常规 2号线和5号线装配，增加四号线装配提前
</t>
        </r>
      </text>
    </comment>
    <comment ref="X3" authorId="0" shapeId="0" xr:uid="{00000000-0006-0000-0200-000009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开班检测/工艺检测，待处理区域巡检1条线与两条线所需要的时间区别不大，因此去除</t>
        </r>
      </text>
    </comment>
    <comment ref="D14" authorId="0" shapeId="0" xr:uid="{00000000-0006-0000-0200-00000A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开班检测/工艺检测两条线需要送一次，待处理区域巡检以两条线的巡检时间为单位时间，去除重复计算后的结果。</t>
        </r>
      </text>
    </comment>
    <comment ref="I14" authorId="0" shapeId="0" xr:uid="{00000000-0006-0000-0200-00000B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开班检测/工艺检测两条线需要送一次，待处理区域巡检以两条线的巡检时间为单位时间，去除重复计算后的结果。</t>
        </r>
      </text>
    </comment>
    <comment ref="D23" authorId="0" shapeId="0" xr:uid="{00000000-0006-0000-0200-00000C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开班检测/工艺检测两条线需要送一次，待处理区域巡检以两条线的巡检时间为单位时间，去除重复计算后的结果。</t>
        </r>
      </text>
    </comment>
    <comment ref="I23" authorId="0" shapeId="0" xr:uid="{00000000-0006-0000-0200-00000D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开班检测/工艺检测两条线需要送一次，待处理区域巡检以两条线的巡检时间为单位时间，去除重复计算后的结果。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8" authorId="0" shapeId="0" xr:uid="{00000000-0006-0000-0300-000001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使用CMM检测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AC6E0D6D-C84E-4A32-B2D8-B2BFD94E5FF8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开班与快速检测</t>
        </r>
      </text>
    </comment>
    <comment ref="E13" authorId="0" shapeId="0" xr:uid="{50F444F2-F8D4-4A51-A2C5-D8E256DDBCA9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CMM检测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FCF21643-672A-4ADA-B57B-F1CA2F44CDA5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开班与快速检测</t>
        </r>
      </text>
    </comment>
    <comment ref="E14" authorId="0" shapeId="0" xr:uid="{B8CB6617-19CC-4A38-B28E-B40326955BBD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CMM检测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" authorId="0" shapeId="0" xr:uid="{14442E25-06FA-4F76-B01C-1E86F4CF82C6}">
      <text>
        <r>
          <rPr>
            <b/>
            <sz val="9"/>
            <color indexed="81"/>
            <rFont val="Arial Narrow"/>
            <family val="2"/>
          </rPr>
          <t>Author:</t>
        </r>
        <r>
          <rPr>
            <sz val="9"/>
            <color indexed="81"/>
            <rFont val="Arial Narrow"/>
            <family val="2"/>
          </rPr>
          <t xml:space="preserve">
=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Arial Narrow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条线时间</t>
        </r>
        <r>
          <rPr>
            <sz val="9"/>
            <color indexed="81"/>
            <rFont val="Arial Narrow"/>
            <family val="2"/>
          </rPr>
          <t>*2</t>
        </r>
        <r>
          <rPr>
            <sz val="9"/>
            <color indexed="81"/>
            <rFont val="宋体"/>
            <family val="3"/>
            <charset val="134"/>
          </rPr>
          <t>）</t>
        </r>
        <r>
          <rPr>
            <sz val="9"/>
            <color indexed="81"/>
            <rFont val="Arial Narrow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Arial Narrow"/>
            <family val="2"/>
          </rPr>
          <t>4&amp;5</t>
        </r>
        <r>
          <rPr>
            <sz val="9"/>
            <color indexed="81"/>
            <rFont val="宋体"/>
            <family val="3"/>
            <charset val="134"/>
          </rPr>
          <t>线开班时间</t>
        </r>
        <r>
          <rPr>
            <sz val="9"/>
            <color indexed="81"/>
            <rFont val="Arial Narrow"/>
            <family val="2"/>
          </rPr>
          <t>18</t>
        </r>
        <r>
          <rPr>
            <sz val="9"/>
            <color indexed="81"/>
            <rFont val="宋体"/>
            <family val="3"/>
            <charset val="134"/>
          </rPr>
          <t>分钟）</t>
        </r>
        <r>
          <rPr>
            <sz val="9"/>
            <color indexed="81"/>
            <rFont val="Arial Narrow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Arial Narrow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条线磁粉探伤时间）</t>
        </r>
      </text>
    </comment>
    <comment ref="I9" authorId="0" shapeId="0" xr:uid="{636BF6F6-CA5D-4646-A2DA-46148BE29A75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其他时间</t>
        </r>
        <r>
          <rPr>
            <sz val="9"/>
            <color indexed="81"/>
            <rFont val="Arial Narrow"/>
            <family val="2"/>
          </rPr>
          <t>=(2</t>
        </r>
        <r>
          <rPr>
            <sz val="9"/>
            <color indexed="81"/>
            <rFont val="宋体"/>
            <family val="3"/>
            <charset val="134"/>
          </rPr>
          <t>条线时间</t>
        </r>
        <r>
          <rPr>
            <sz val="9"/>
            <color indexed="81"/>
            <rFont val="Arial Narrow"/>
            <family val="2"/>
          </rPr>
          <t>*2)-(</t>
        </r>
        <r>
          <rPr>
            <sz val="9"/>
            <color indexed="81"/>
            <rFont val="宋体"/>
            <family val="3"/>
            <charset val="134"/>
          </rPr>
          <t>一次审核时间</t>
        </r>
        <r>
          <rPr>
            <sz val="9"/>
            <color indexed="81"/>
            <rFont val="Arial Narrow"/>
            <family val="2"/>
          </rPr>
          <t>30min)</t>
        </r>
      </text>
    </comment>
    <comment ref="D14" authorId="0" shapeId="0" xr:uid="{7A381FA5-599A-4A6D-A7A8-3390CCDFC9AB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开班与快速检测</t>
        </r>
      </text>
    </comment>
    <comment ref="G21" authorId="0" shapeId="0" xr:uid="{AB3805E0-2159-4C33-B2FB-9112BD8CEF01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约40对，22个工作日，5个QG</t>
        </r>
      </text>
    </comment>
    <comment ref="F32" authorId="0" shapeId="0" xr:uid="{4A485AF0-259D-4997-B033-D12D68A8EB9F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CMM检测一对</t>
        </r>
      </text>
    </comment>
    <comment ref="F34" authorId="0" shapeId="0" xr:uid="{67005803-0B6E-43AA-A5C7-962FA197981E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CMM检测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7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使用CMM检测</t>
        </r>
      </text>
    </comment>
  </commentList>
</comments>
</file>

<file path=xl/sharedStrings.xml><?xml version="1.0" encoding="utf-8"?>
<sst xmlns="http://schemas.openxmlformats.org/spreadsheetml/2006/main" count="941" uniqueCount="376">
  <si>
    <t>PID</t>
    <phoneticPr fontId="1" type="noConversion"/>
  </si>
  <si>
    <t>√</t>
    <phoneticPr fontId="1" type="noConversion"/>
  </si>
  <si>
    <t>CT</t>
    <phoneticPr fontId="1" type="noConversion"/>
  </si>
  <si>
    <t>Pin</t>
    <phoneticPr fontId="1" type="noConversion"/>
  </si>
  <si>
    <t>Bushing</t>
    <phoneticPr fontId="1" type="noConversion"/>
  </si>
  <si>
    <t>Link</t>
    <phoneticPr fontId="1" type="noConversion"/>
  </si>
  <si>
    <t>Pin的热处理尺寸检测/2pcs</t>
    <phoneticPr fontId="1" type="noConversion"/>
  </si>
  <si>
    <t>Bushing的热处理尺寸检测/2pcs</t>
    <phoneticPr fontId="1" type="noConversion"/>
  </si>
  <si>
    <t>磁粉探伤/2pcs</t>
    <phoneticPr fontId="1" type="noConversion"/>
  </si>
  <si>
    <t>开班送检Bushing2pcs</t>
    <phoneticPr fontId="1" type="noConversion"/>
  </si>
  <si>
    <t>开班送检Link2pcs</t>
    <phoneticPr fontId="1" type="noConversion"/>
  </si>
  <si>
    <t>工艺送检Pin2pcs</t>
    <phoneticPr fontId="1" type="noConversion"/>
  </si>
  <si>
    <t>工艺送检Bushing2pcs</t>
    <phoneticPr fontId="1" type="noConversion"/>
  </si>
  <si>
    <t>工艺送检Link2pcs</t>
    <phoneticPr fontId="1" type="noConversion"/>
  </si>
  <si>
    <t>表硬检测/2pcs</t>
    <phoneticPr fontId="1" type="noConversion"/>
  </si>
  <si>
    <t>Pin-HT</t>
    <phoneticPr fontId="1" type="noConversion"/>
  </si>
  <si>
    <t>Bushing-HT</t>
    <phoneticPr fontId="1" type="noConversion"/>
  </si>
  <si>
    <t>Link-HT</t>
    <phoneticPr fontId="1" type="noConversion"/>
  </si>
  <si>
    <t>待处理物料审核</t>
    <phoneticPr fontId="1" type="noConversion"/>
  </si>
  <si>
    <t>Link-M</t>
    <phoneticPr fontId="1" type="noConversion"/>
  </si>
  <si>
    <t>ASS</t>
    <phoneticPr fontId="1" type="noConversion"/>
  </si>
  <si>
    <t>白班每天所需时间</t>
    <phoneticPr fontId="1" type="noConversion"/>
  </si>
  <si>
    <t>夜班每天所需时间</t>
    <phoneticPr fontId="1" type="noConversion"/>
  </si>
  <si>
    <t>Link的外观检测/4pcs</t>
    <phoneticPr fontId="1" type="noConversion"/>
  </si>
  <si>
    <t>实际时间</t>
    <phoneticPr fontId="1" type="noConversion"/>
  </si>
  <si>
    <t>Pin的外观检测/6pcs</t>
    <phoneticPr fontId="1" type="noConversion"/>
  </si>
  <si>
    <t>Bushing的外观检测/6pcs</t>
    <phoneticPr fontId="1" type="noConversion"/>
  </si>
  <si>
    <t>Roller</t>
    <phoneticPr fontId="1" type="noConversion"/>
  </si>
  <si>
    <t>密封圈高度</t>
    <phoneticPr fontId="1" type="noConversion"/>
  </si>
  <si>
    <t>轴承跨距</t>
    <phoneticPr fontId="1" type="noConversion"/>
  </si>
  <si>
    <t>窜动量</t>
    <phoneticPr fontId="1" type="noConversion"/>
  </si>
  <si>
    <t>清洁度送检</t>
    <phoneticPr fontId="1" type="noConversion"/>
  </si>
  <si>
    <t>Painting</t>
    <phoneticPr fontId="1" type="noConversion"/>
  </si>
  <si>
    <t>目视检查</t>
    <phoneticPr fontId="1" type="noConversion"/>
  </si>
  <si>
    <t>漆膜厚度</t>
    <phoneticPr fontId="1" type="noConversion"/>
  </si>
  <si>
    <t>开口/整齐度/板缝</t>
    <phoneticPr fontId="1" type="noConversion"/>
  </si>
  <si>
    <t>外观检测</t>
    <phoneticPr fontId="1" type="noConversion"/>
  </si>
  <si>
    <t>QG PID</t>
    <phoneticPr fontId="1" type="noConversion"/>
  </si>
  <si>
    <t>PBL热处理</t>
    <phoneticPr fontId="1" type="noConversion"/>
  </si>
  <si>
    <t>区域</t>
    <phoneticPr fontId="1" type="noConversion"/>
  </si>
  <si>
    <t>零部件</t>
    <phoneticPr fontId="1" type="noConversion"/>
  </si>
  <si>
    <t>ASS</t>
    <phoneticPr fontId="1" type="noConversion"/>
  </si>
  <si>
    <t>合计</t>
    <phoneticPr fontId="1" type="noConversion"/>
  </si>
  <si>
    <t>频率</t>
    <phoneticPr fontId="1" type="noConversion"/>
  </si>
  <si>
    <t>开班</t>
    <phoneticPr fontId="1" type="noConversion"/>
  </si>
  <si>
    <t>工艺</t>
    <phoneticPr fontId="1" type="noConversion"/>
  </si>
  <si>
    <t>序间检测</t>
    <phoneticPr fontId="1" type="noConversion"/>
  </si>
  <si>
    <t>序间巡检</t>
    <phoneticPr fontId="1" type="noConversion"/>
  </si>
  <si>
    <t>工作内容</t>
    <phoneticPr fontId="1" type="noConversion"/>
  </si>
  <si>
    <t>TG Rework Record</t>
    <phoneticPr fontId="1" type="noConversion"/>
  </si>
  <si>
    <t>IQA Record</t>
    <phoneticPr fontId="1" type="noConversion"/>
  </si>
  <si>
    <t>QA &amp; 8D weekly review meeting</t>
    <phoneticPr fontId="1" type="noConversion"/>
  </si>
  <si>
    <t xml:space="preserve">Scrap </t>
    <phoneticPr fontId="1" type="noConversion"/>
  </si>
  <si>
    <t>TCOQ</t>
    <phoneticPr fontId="1" type="noConversion"/>
  </si>
  <si>
    <t>Delivery PPM Record</t>
    <phoneticPr fontId="1" type="noConversion"/>
  </si>
  <si>
    <t>PDI defect free</t>
    <phoneticPr fontId="1" type="noConversion"/>
  </si>
  <si>
    <t>CUXL Quality Dashboard</t>
    <phoneticPr fontId="1" type="noConversion"/>
  </si>
  <si>
    <t xml:space="preserve">VSC </t>
    <phoneticPr fontId="1" type="noConversion"/>
  </si>
  <si>
    <t xml:space="preserve"> CUXL OQL</t>
    <phoneticPr fontId="1" type="noConversion"/>
  </si>
  <si>
    <t xml:space="preserve">Quality staff meeting </t>
    <phoneticPr fontId="1" type="noConversion"/>
  </si>
  <si>
    <t>Quality improvement discuss</t>
    <phoneticPr fontId="1" type="noConversion"/>
  </si>
  <si>
    <t xml:space="preserve">BIQ workshop </t>
    <phoneticPr fontId="1" type="noConversion"/>
  </si>
  <si>
    <t xml:space="preserve">Weekly Focus </t>
    <phoneticPr fontId="1" type="noConversion"/>
  </si>
  <si>
    <t>QG smart goal update</t>
    <phoneticPr fontId="1" type="noConversion"/>
  </si>
  <si>
    <t xml:space="preserve">Bi-Weekly report </t>
    <phoneticPr fontId="1" type="noConversion"/>
  </si>
  <si>
    <t>Gap analysis update</t>
    <phoneticPr fontId="1" type="noConversion"/>
  </si>
  <si>
    <t>Gap analysis audit</t>
    <phoneticPr fontId="1" type="noConversion"/>
  </si>
  <si>
    <t>BIQ</t>
    <phoneticPr fontId="1" type="noConversion"/>
  </si>
  <si>
    <t>Day</t>
    <phoneticPr fontId="1" type="noConversion"/>
  </si>
  <si>
    <t>Weekly</t>
    <phoneticPr fontId="1" type="noConversion"/>
  </si>
  <si>
    <t>Monthly</t>
    <phoneticPr fontId="1" type="noConversion"/>
  </si>
  <si>
    <t>PB-HT</t>
    <phoneticPr fontId="1" type="noConversion"/>
  </si>
  <si>
    <t>工作区域</t>
    <phoneticPr fontId="1" type="noConversion"/>
  </si>
  <si>
    <t>所需时间</t>
    <phoneticPr fontId="1" type="noConversion"/>
  </si>
  <si>
    <t>所需人数</t>
    <phoneticPr fontId="1" type="noConversion"/>
  </si>
  <si>
    <t>Ass</t>
    <phoneticPr fontId="1" type="noConversion"/>
  </si>
  <si>
    <t>Roller</t>
    <phoneticPr fontId="1" type="noConversion"/>
  </si>
  <si>
    <t>Painting</t>
    <phoneticPr fontId="1" type="noConversion"/>
  </si>
  <si>
    <t>开线的条数</t>
    <phoneticPr fontId="1" type="noConversion"/>
  </si>
  <si>
    <r>
      <rPr>
        <sz val="10"/>
        <color theme="1"/>
        <rFont val="宋体"/>
        <family val="3"/>
        <charset val="134"/>
      </rPr>
      <t>内部质量</t>
    </r>
  </si>
  <si>
    <r>
      <rPr>
        <sz val="10"/>
        <color theme="1"/>
        <rFont val="宋体"/>
        <family val="2"/>
      </rPr>
      <t>工作内容（大类）</t>
    </r>
    <phoneticPr fontId="1" type="noConversion"/>
  </si>
  <si>
    <r>
      <rPr>
        <sz val="10"/>
        <color theme="1"/>
        <rFont val="宋体"/>
        <family val="2"/>
      </rPr>
      <t>工作内容</t>
    </r>
    <phoneticPr fontId="1" type="noConversion"/>
  </si>
  <si>
    <r>
      <rPr>
        <sz val="10"/>
        <color theme="1"/>
        <rFont val="宋体"/>
        <family val="2"/>
      </rPr>
      <t>平均花费时间</t>
    </r>
    <phoneticPr fontId="1" type="noConversion"/>
  </si>
  <si>
    <r>
      <t>QG</t>
    </r>
    <r>
      <rPr>
        <sz val="10"/>
        <color theme="1"/>
        <rFont val="宋体"/>
        <family val="3"/>
        <charset val="134"/>
      </rPr>
      <t>办公室</t>
    </r>
    <r>
      <rPr>
        <sz val="10"/>
        <color theme="1"/>
        <rFont val="Arial"/>
        <family val="2"/>
      </rPr>
      <t>5s</t>
    </r>
    <r>
      <rPr>
        <sz val="10"/>
        <color theme="1"/>
        <rFont val="宋体"/>
        <family val="3"/>
        <charset val="134"/>
      </rPr>
      <t>整理</t>
    </r>
    <phoneticPr fontId="1" type="noConversion"/>
  </si>
  <si>
    <r>
      <rPr>
        <sz val="10"/>
        <color theme="1"/>
        <rFont val="宋体"/>
        <family val="3"/>
        <charset val="134"/>
      </rPr>
      <t>标准化、</t>
    </r>
    <r>
      <rPr>
        <sz val="10"/>
        <color theme="1"/>
        <rFont val="Arial"/>
        <family val="2"/>
      </rPr>
      <t>5s</t>
    </r>
    <r>
      <rPr>
        <sz val="10"/>
        <color theme="1"/>
        <rFont val="宋体"/>
        <family val="3"/>
        <charset val="134"/>
      </rPr>
      <t>审核</t>
    </r>
    <phoneticPr fontId="1" type="noConversion"/>
  </si>
  <si>
    <r>
      <rPr>
        <sz val="10"/>
        <color theme="1"/>
        <rFont val="宋体"/>
        <family val="3"/>
        <charset val="134"/>
      </rPr>
      <t>内部质量</t>
    </r>
    <phoneticPr fontId="1" type="noConversion"/>
  </si>
  <si>
    <r>
      <rPr>
        <sz val="10"/>
        <color theme="1"/>
        <rFont val="宋体"/>
        <family val="3"/>
        <charset val="134"/>
      </rPr>
      <t>现场巡查</t>
    </r>
    <phoneticPr fontId="1" type="noConversion"/>
  </si>
  <si>
    <r>
      <rPr>
        <sz val="10"/>
        <color theme="1"/>
        <rFont val="宋体"/>
        <family val="3"/>
        <charset val="134"/>
      </rPr>
      <t>现场质量判定</t>
    </r>
    <phoneticPr fontId="1" type="noConversion"/>
  </si>
  <si>
    <r>
      <rPr>
        <sz val="10"/>
        <color theme="1"/>
        <rFont val="宋体"/>
        <family val="3"/>
        <charset val="134"/>
      </rPr>
      <t>三坐标测量机维护</t>
    </r>
    <phoneticPr fontId="1" type="noConversion"/>
  </si>
  <si>
    <r>
      <rPr>
        <sz val="10"/>
        <color theme="1"/>
        <rFont val="宋体"/>
        <family val="3"/>
        <charset val="134"/>
      </rPr>
      <t>与</t>
    </r>
    <r>
      <rPr>
        <sz val="10"/>
        <color theme="1"/>
        <rFont val="Arial"/>
        <family val="2"/>
      </rPr>
      <t>ATL</t>
    </r>
    <r>
      <rPr>
        <sz val="10"/>
        <color theme="1"/>
        <rFont val="宋体"/>
        <family val="3"/>
        <charset val="134"/>
      </rPr>
      <t>信息交流</t>
    </r>
    <phoneticPr fontId="1" type="noConversion"/>
  </si>
  <si>
    <r>
      <rPr>
        <sz val="10"/>
        <color theme="1"/>
        <rFont val="宋体"/>
        <family val="3"/>
        <charset val="134"/>
      </rPr>
      <t>质量行走</t>
    </r>
    <phoneticPr fontId="1" type="noConversion"/>
  </si>
  <si>
    <r>
      <rPr>
        <sz val="10"/>
        <color theme="1"/>
        <rFont val="宋体"/>
        <family val="3"/>
        <charset val="134"/>
      </rPr>
      <t>内审</t>
    </r>
    <phoneticPr fontId="1" type="noConversion"/>
  </si>
  <si>
    <r>
      <rPr>
        <sz val="10"/>
        <color theme="1"/>
        <rFont val="宋体"/>
        <family val="3"/>
        <charset val="134"/>
      </rPr>
      <t>部门间会议交流</t>
    </r>
    <phoneticPr fontId="1" type="noConversion"/>
  </si>
  <si>
    <r>
      <rPr>
        <sz val="10"/>
        <color theme="1"/>
        <rFont val="宋体"/>
        <family val="3"/>
        <charset val="134"/>
      </rPr>
      <t>持续改进</t>
    </r>
    <phoneticPr fontId="1" type="noConversion"/>
  </si>
  <si>
    <r>
      <rPr>
        <sz val="10"/>
        <color theme="1"/>
        <rFont val="宋体"/>
        <family val="3"/>
        <charset val="134"/>
      </rPr>
      <t>数据报告</t>
    </r>
    <phoneticPr fontId="1" type="noConversion"/>
  </si>
  <si>
    <r>
      <rPr>
        <sz val="10"/>
        <color theme="1"/>
        <rFont val="宋体"/>
        <family val="3"/>
        <charset val="134"/>
      </rPr>
      <t>公司级</t>
    </r>
    <r>
      <rPr>
        <sz val="10"/>
        <color theme="1"/>
        <rFont val="Arial"/>
        <family val="2"/>
      </rPr>
      <t>BIQ data</t>
    </r>
    <phoneticPr fontId="1" type="noConversion"/>
  </si>
  <si>
    <r>
      <rPr>
        <sz val="10"/>
        <color theme="1"/>
        <rFont val="宋体"/>
        <family val="3"/>
        <charset val="134"/>
      </rPr>
      <t>公司级</t>
    </r>
    <r>
      <rPr>
        <sz val="10"/>
        <color theme="1"/>
        <rFont val="Arial"/>
        <family val="2"/>
      </rPr>
      <t>BIQ Offender Chart</t>
    </r>
    <phoneticPr fontId="1" type="noConversion"/>
  </si>
  <si>
    <r>
      <t xml:space="preserve">CUXL </t>
    </r>
    <r>
      <rPr>
        <sz val="10"/>
        <color theme="1"/>
        <rFont val="宋体"/>
        <family val="3"/>
        <charset val="134"/>
      </rPr>
      <t>质量数据汇总</t>
    </r>
    <phoneticPr fontId="1" type="noConversion"/>
  </si>
  <si>
    <r>
      <rPr>
        <sz val="10"/>
        <color theme="1"/>
        <rFont val="宋体"/>
        <family val="3"/>
        <charset val="134"/>
      </rPr>
      <t>厂级</t>
    </r>
    <r>
      <rPr>
        <sz val="10"/>
        <color theme="1"/>
        <rFont val="Arial"/>
        <family val="2"/>
      </rPr>
      <t>PID</t>
    </r>
    <r>
      <rPr>
        <sz val="10"/>
        <color theme="1"/>
        <rFont val="宋体"/>
        <family val="3"/>
        <charset val="134"/>
      </rPr>
      <t>数据更新</t>
    </r>
    <phoneticPr fontId="1" type="noConversion"/>
  </si>
  <si>
    <r>
      <rPr>
        <sz val="10"/>
        <color theme="1"/>
        <rFont val="宋体"/>
        <family val="3"/>
        <charset val="134"/>
      </rPr>
      <t>总计</t>
    </r>
    <phoneticPr fontId="1" type="noConversion"/>
  </si>
  <si>
    <r>
      <t xml:space="preserve">QG </t>
    </r>
    <r>
      <rPr>
        <sz val="10"/>
        <color theme="1"/>
        <rFont val="宋体"/>
        <family val="3"/>
        <charset val="134"/>
      </rPr>
      <t>管理</t>
    </r>
    <phoneticPr fontId="1" type="noConversion"/>
  </si>
  <si>
    <r>
      <t>QS</t>
    </r>
    <r>
      <rPr>
        <sz val="10"/>
        <color theme="1"/>
        <rFont val="宋体"/>
        <family val="3"/>
        <charset val="134"/>
      </rPr>
      <t>（部门内交流）</t>
    </r>
    <phoneticPr fontId="1" type="noConversion"/>
  </si>
  <si>
    <r>
      <rPr>
        <sz val="10"/>
        <color theme="1"/>
        <rFont val="宋体"/>
        <family val="3"/>
        <charset val="134"/>
      </rPr>
      <t>合计</t>
    </r>
    <phoneticPr fontId="1" type="noConversion"/>
  </si>
  <si>
    <t>数据报告</t>
    <phoneticPr fontId="1" type="noConversion"/>
  </si>
  <si>
    <t xml:space="preserve">BIQ workshop </t>
    <phoneticPr fontId="1" type="noConversion"/>
  </si>
  <si>
    <t>小时</t>
    <phoneticPr fontId="1" type="noConversion"/>
  </si>
  <si>
    <t>工作内容</t>
    <phoneticPr fontId="1" type="noConversion"/>
  </si>
  <si>
    <t>/</t>
    <phoneticPr fontId="1" type="noConversion"/>
  </si>
  <si>
    <t xml:space="preserve">单条生产线工作内容 </t>
    <phoneticPr fontId="1" type="noConversion"/>
  </si>
  <si>
    <t>Link-H</t>
    <phoneticPr fontId="1" type="noConversion"/>
  </si>
  <si>
    <t>QG工作内容时间表</t>
    <phoneticPr fontId="1" type="noConversion"/>
  </si>
  <si>
    <t>小计</t>
    <phoneticPr fontId="1" type="noConversion"/>
  </si>
  <si>
    <t>2016年4月份夜班(Day 8-Day 19)</t>
    <phoneticPr fontId="1" type="noConversion"/>
  </si>
  <si>
    <t>2016年4月份白班(Day 1-Day 7)</t>
    <phoneticPr fontId="1" type="noConversion"/>
  </si>
  <si>
    <t>2016年4月份夜班(Day 1-Day 7)</t>
    <phoneticPr fontId="1" type="noConversion"/>
  </si>
  <si>
    <t>2016年4月份白班(Day 8-Day 19)</t>
    <phoneticPr fontId="1" type="noConversion"/>
  </si>
  <si>
    <t>2016年4月份白班(Day 20-Day 25)</t>
    <phoneticPr fontId="1" type="noConversion"/>
  </si>
  <si>
    <t>2016年4月份夜班(Day 20-Day 25)</t>
    <phoneticPr fontId="1" type="noConversion"/>
  </si>
  <si>
    <t>销售件计划只有一个星期的提前期，因此19号以后的无法预测</t>
    <phoneticPr fontId="1" type="noConversion"/>
  </si>
  <si>
    <t>备注：</t>
    <phoneticPr fontId="1" type="noConversion"/>
  </si>
  <si>
    <r>
      <t>BIQ</t>
    </r>
    <r>
      <rPr>
        <sz val="10"/>
        <color theme="1"/>
        <rFont val="宋体"/>
        <family val="3"/>
        <charset val="134"/>
      </rPr>
      <t>展板更新</t>
    </r>
    <phoneticPr fontId="1" type="noConversion"/>
  </si>
  <si>
    <t>培训录入</t>
    <phoneticPr fontId="1" type="noConversion"/>
  </si>
  <si>
    <t>CI卡录入</t>
    <phoneticPr fontId="1" type="noConversion"/>
  </si>
  <si>
    <t>Pin的毛坯尺寸检测/2pcs</t>
    <phoneticPr fontId="1" type="noConversion"/>
  </si>
  <si>
    <t>零部件检测</t>
    <phoneticPr fontId="1" type="noConversion"/>
  </si>
  <si>
    <t>2016年11月份白班</t>
    <phoneticPr fontId="1" type="noConversion"/>
  </si>
  <si>
    <t>2016年11月份白班-2/3/Roller</t>
    <phoneticPr fontId="1" type="noConversion"/>
  </si>
  <si>
    <t>2016年11月份白班-4/5/Painting</t>
    <phoneticPr fontId="1" type="noConversion"/>
  </si>
  <si>
    <t>2016年11月份夜班</t>
    <phoneticPr fontId="1" type="noConversion"/>
  </si>
  <si>
    <t>开班送检Pin2pcs</t>
  </si>
  <si>
    <t>开班检测Pin2pcs</t>
  </si>
  <si>
    <t>开班检测Bushing2pcs</t>
  </si>
  <si>
    <t>开班检测Link2pcs</t>
  </si>
  <si>
    <t>机加工粗糙度检测</t>
  </si>
  <si>
    <r>
      <rPr>
        <sz val="11"/>
        <color theme="1"/>
        <rFont val="宋体"/>
        <family val="3"/>
        <charset val="134"/>
      </rPr>
      <t>工艺送检</t>
    </r>
    <phoneticPr fontId="1" type="noConversion"/>
  </si>
  <si>
    <r>
      <rPr>
        <sz val="11"/>
        <color theme="1"/>
        <rFont val="宋体"/>
        <family val="3"/>
        <charset val="134"/>
      </rPr>
      <t>热处理尺寸检测</t>
    </r>
    <phoneticPr fontId="1" type="noConversion"/>
  </si>
  <si>
    <r>
      <rPr>
        <sz val="11"/>
        <color theme="1"/>
        <rFont val="宋体"/>
        <family val="3"/>
        <charset val="134"/>
      </rPr>
      <t>待处理物料审核</t>
    </r>
    <phoneticPr fontId="1" type="noConversion"/>
  </si>
  <si>
    <r>
      <rPr>
        <sz val="11"/>
        <color theme="1"/>
        <rFont val="宋体"/>
        <family val="3"/>
        <charset val="134"/>
      </rPr>
      <t>漆膜厚度</t>
    </r>
  </si>
  <si>
    <r>
      <rPr>
        <sz val="11"/>
        <color theme="1"/>
        <rFont val="宋体"/>
        <family val="3"/>
        <charset val="134"/>
      </rPr>
      <t>单条生产线工作内容</t>
    </r>
    <r>
      <rPr>
        <sz val="11"/>
        <color theme="1"/>
        <rFont val="Arial Narrow"/>
        <family val="2"/>
      </rPr>
      <t xml:space="preserve"> </t>
    </r>
    <phoneticPr fontId="1" type="noConversion"/>
  </si>
  <si>
    <r>
      <t>1</t>
    </r>
    <r>
      <rPr>
        <sz val="11"/>
        <color theme="1"/>
        <rFont val="宋体"/>
        <family val="3"/>
        <charset val="134"/>
      </rPr>
      <t>对</t>
    </r>
    <phoneticPr fontId="1" type="noConversion"/>
  </si>
  <si>
    <r>
      <t>6</t>
    </r>
    <r>
      <rPr>
        <sz val="11"/>
        <color theme="1"/>
        <rFont val="宋体"/>
        <family val="3"/>
        <charset val="134"/>
      </rPr>
      <t>对</t>
    </r>
    <phoneticPr fontId="1" type="noConversion"/>
  </si>
  <si>
    <r>
      <t>3</t>
    </r>
    <r>
      <rPr>
        <sz val="11"/>
        <color theme="1"/>
        <rFont val="宋体"/>
        <family val="3"/>
        <charset val="134"/>
      </rPr>
      <t>对</t>
    </r>
    <phoneticPr fontId="1" type="noConversion"/>
  </si>
  <si>
    <r>
      <t>2</t>
    </r>
    <r>
      <rPr>
        <sz val="11"/>
        <color theme="1"/>
        <rFont val="宋体"/>
        <family val="3"/>
        <charset val="134"/>
      </rPr>
      <t>对</t>
    </r>
    <phoneticPr fontId="1" type="noConversion"/>
  </si>
  <si>
    <r>
      <rPr>
        <sz val="11"/>
        <color theme="1"/>
        <rFont val="宋体"/>
        <family val="3"/>
        <charset val="134"/>
      </rPr>
      <t>数量</t>
    </r>
    <phoneticPr fontId="1" type="noConversion"/>
  </si>
  <si>
    <t>PBL-HT</t>
    <phoneticPr fontId="1" type="noConversion"/>
  </si>
  <si>
    <t>TG</t>
    <phoneticPr fontId="1" type="noConversion"/>
  </si>
  <si>
    <t>Parts</t>
    <phoneticPr fontId="1" type="noConversion"/>
  </si>
  <si>
    <r>
      <rPr>
        <sz val="11"/>
        <color theme="1"/>
        <rFont val="宋体"/>
        <family val="3"/>
        <charset val="134"/>
      </rPr>
      <t>核对物料实物、随行单、看板，生产工单的信息一致</t>
    </r>
    <phoneticPr fontId="1" type="noConversion"/>
  </si>
  <si>
    <r>
      <t>1</t>
    </r>
    <r>
      <rPr>
        <sz val="11"/>
        <color theme="1"/>
        <rFont val="宋体"/>
        <family val="3"/>
        <charset val="134"/>
      </rPr>
      <t>条履带</t>
    </r>
  </si>
  <si>
    <r>
      <rPr>
        <sz val="11"/>
        <color theme="1"/>
        <rFont val="宋体"/>
        <family val="3"/>
        <charset val="134"/>
      </rPr>
      <t>正在装配履带的第一节销孔直径验证</t>
    </r>
  </si>
  <si>
    <r>
      <rPr>
        <sz val="11"/>
        <color theme="1"/>
        <rFont val="宋体"/>
        <family val="3"/>
        <charset val="134"/>
      </rPr>
      <t>履带板倾斜度审核（目视）</t>
    </r>
  </si>
  <si>
    <r>
      <rPr>
        <sz val="11"/>
        <color theme="1"/>
        <rFont val="宋体"/>
        <family val="3"/>
        <charset val="134"/>
      </rPr>
      <t>测量主销套凸出量。</t>
    </r>
  </si>
  <si>
    <r>
      <t>1</t>
    </r>
    <r>
      <rPr>
        <sz val="11"/>
        <color theme="1"/>
        <rFont val="宋体"/>
        <family val="3"/>
        <charset val="134"/>
      </rPr>
      <t>次</t>
    </r>
  </si>
  <si>
    <r>
      <rPr>
        <sz val="11"/>
        <color theme="1"/>
        <rFont val="宋体"/>
        <family val="3"/>
        <charset val="134"/>
      </rPr>
      <t>履带节数的标准化执行确认审核</t>
    </r>
  </si>
  <si>
    <r>
      <t>5</t>
    </r>
    <r>
      <rPr>
        <sz val="11"/>
        <color theme="1"/>
        <rFont val="宋体"/>
        <family val="3"/>
        <charset val="134"/>
      </rPr>
      <t>条履带</t>
    </r>
    <phoneticPr fontId="1" type="noConversion"/>
  </si>
  <si>
    <r>
      <rPr>
        <sz val="11"/>
        <color theme="1"/>
        <rFont val="宋体"/>
        <family val="3"/>
        <charset val="134"/>
      </rPr>
      <t>履带的板缝≥</t>
    </r>
    <r>
      <rPr>
        <sz val="11"/>
        <color theme="1"/>
        <rFont val="Arial Narrow"/>
        <family val="2"/>
      </rPr>
      <t>2mm</t>
    </r>
  </si>
  <si>
    <r>
      <t>5</t>
    </r>
    <r>
      <rPr>
        <sz val="11"/>
        <color theme="1"/>
        <rFont val="宋体"/>
        <family val="3"/>
        <charset val="134"/>
      </rPr>
      <t>条履带</t>
    </r>
  </si>
  <si>
    <r>
      <t>PPR</t>
    </r>
    <r>
      <rPr>
        <sz val="11"/>
        <color theme="1"/>
        <rFont val="宋体"/>
        <family val="3"/>
        <charset val="134"/>
      </rPr>
      <t>履带压痕深度检查（如果适用）</t>
    </r>
  </si>
  <si>
    <r>
      <rPr>
        <sz val="11"/>
        <color theme="1"/>
        <rFont val="宋体"/>
        <family val="3"/>
        <charset val="134"/>
      </rPr>
      <t>销子端面裂纹检查</t>
    </r>
  </si>
  <si>
    <r>
      <rPr>
        <sz val="11"/>
        <color theme="1"/>
        <rFont val="宋体"/>
        <family val="3"/>
        <charset val="134"/>
      </rPr>
      <t>主链接开口槽尺寸检查（如果适用）</t>
    </r>
  </si>
  <si>
    <r>
      <rPr>
        <sz val="11"/>
        <color theme="1"/>
        <rFont val="宋体"/>
        <family val="3"/>
        <charset val="134"/>
      </rPr>
      <t>链轨节销孔、销套孔及螺栓孔的倒角</t>
    </r>
  </si>
  <si>
    <r>
      <t>5</t>
    </r>
    <r>
      <rPr>
        <sz val="11"/>
        <color theme="1"/>
        <rFont val="宋体"/>
        <family val="3"/>
        <charset val="134"/>
      </rPr>
      <t>对</t>
    </r>
    <phoneticPr fontId="1" type="noConversion"/>
  </si>
  <si>
    <r>
      <rPr>
        <sz val="11"/>
        <color theme="1"/>
        <rFont val="宋体"/>
        <family val="3"/>
        <charset val="134"/>
      </rPr>
      <t>履带板表面无缺肉</t>
    </r>
  </si>
  <si>
    <r>
      <rPr>
        <sz val="11"/>
        <color theme="1"/>
        <rFont val="宋体"/>
        <family val="3"/>
        <charset val="134"/>
      </rPr>
      <t>履带板尺寸快速检测（长度、厚度等）</t>
    </r>
  </si>
  <si>
    <r>
      <t>1</t>
    </r>
    <r>
      <rPr>
        <sz val="11"/>
        <color theme="1"/>
        <rFont val="宋体"/>
        <family val="3"/>
        <charset val="134"/>
      </rPr>
      <t>件</t>
    </r>
  </si>
  <si>
    <t>TR</t>
    <phoneticPr fontId="1" type="noConversion"/>
  </si>
  <si>
    <t>Link</t>
  </si>
  <si>
    <r>
      <t>6</t>
    </r>
    <r>
      <rPr>
        <sz val="11"/>
        <color theme="1"/>
        <rFont val="宋体"/>
        <family val="3"/>
        <charset val="134"/>
      </rPr>
      <t>件</t>
    </r>
    <phoneticPr fontId="1" type="noConversion"/>
  </si>
  <si>
    <t>PB</t>
    <phoneticPr fontId="1" type="noConversion"/>
  </si>
  <si>
    <t>PBL</t>
    <phoneticPr fontId="1" type="noConversion"/>
  </si>
  <si>
    <r>
      <t>CMT</t>
    </r>
    <r>
      <rPr>
        <sz val="11"/>
        <color theme="1"/>
        <rFont val="宋体"/>
        <family val="3"/>
        <charset val="134"/>
      </rPr>
      <t>清洁度送检</t>
    </r>
    <phoneticPr fontId="1" type="noConversion"/>
  </si>
  <si>
    <t>其他</t>
    <phoneticPr fontId="1" type="noConversion"/>
  </si>
  <si>
    <r>
      <rPr>
        <sz val="11"/>
        <color theme="1"/>
        <rFont val="宋体"/>
        <family val="3"/>
        <charset val="134"/>
      </rPr>
      <t>表硬与</t>
    </r>
    <r>
      <rPr>
        <sz val="11"/>
        <color theme="1"/>
        <rFont val="Arial Narrow"/>
        <family val="2"/>
      </rPr>
      <t>H-length</t>
    </r>
    <r>
      <rPr>
        <sz val="11"/>
        <color theme="1"/>
        <rFont val="宋体"/>
        <family val="3"/>
        <charset val="134"/>
      </rPr>
      <t>检测</t>
    </r>
  </si>
  <si>
    <r>
      <rPr>
        <sz val="11"/>
        <color theme="1"/>
        <rFont val="宋体"/>
        <family val="3"/>
        <charset val="134"/>
      </rPr>
      <t>磁粉探伤</t>
    </r>
    <phoneticPr fontId="1" type="noConversion"/>
  </si>
  <si>
    <r>
      <rPr>
        <sz val="11"/>
        <color theme="1"/>
        <rFont val="宋体"/>
        <family val="3"/>
        <charset val="134"/>
      </rPr>
      <t>外观目视检测</t>
    </r>
    <phoneticPr fontId="1" type="noConversion"/>
  </si>
  <si>
    <r>
      <rPr>
        <sz val="11"/>
        <color theme="1"/>
        <rFont val="宋体"/>
        <family val="3"/>
        <charset val="134"/>
      </rPr>
      <t>加严磁粉探伤</t>
    </r>
    <phoneticPr fontId="1" type="noConversion"/>
  </si>
  <si>
    <r>
      <rPr>
        <sz val="11"/>
        <color theme="1"/>
        <rFont val="宋体"/>
        <family val="3"/>
        <charset val="134"/>
      </rPr>
      <t>发货物料加严尺寸检测</t>
    </r>
    <phoneticPr fontId="1" type="noConversion"/>
  </si>
  <si>
    <r>
      <rPr>
        <sz val="11"/>
        <color theme="1"/>
        <rFont val="宋体"/>
        <family val="3"/>
        <charset val="134"/>
      </rPr>
      <t>销套、销子突出量检查</t>
    </r>
    <phoneticPr fontId="1" type="noConversion"/>
  </si>
  <si>
    <r>
      <rPr>
        <sz val="11"/>
        <color theme="1"/>
        <rFont val="宋体"/>
        <family val="3"/>
        <charset val="134"/>
      </rPr>
      <t>卷链可靠性检查（无明显松动）、钢丝绳及履带夹的使用检查</t>
    </r>
    <phoneticPr fontId="1" type="noConversion"/>
  </si>
  <si>
    <r>
      <rPr>
        <sz val="11"/>
        <color theme="1"/>
        <rFont val="宋体"/>
        <family val="3"/>
        <charset val="134"/>
      </rPr>
      <t>测量发货件机加工工件</t>
    </r>
    <r>
      <rPr>
        <sz val="11"/>
        <color theme="1"/>
        <rFont val="Arial Narrow"/>
        <family val="2"/>
      </rPr>
      <t>Pin/Bushing</t>
    </r>
    <r>
      <rPr>
        <sz val="11"/>
        <color theme="1"/>
        <rFont val="宋体"/>
        <family val="3"/>
        <charset val="134"/>
      </rPr>
      <t>孔粗糙度是否合格
查看发货件</t>
    </r>
    <r>
      <rPr>
        <sz val="11"/>
        <color theme="1"/>
        <rFont val="Arial Narrow"/>
        <family val="2"/>
      </rPr>
      <t>Link</t>
    </r>
    <r>
      <rPr>
        <sz val="11"/>
        <color theme="1"/>
        <rFont val="宋体"/>
        <family val="3"/>
        <charset val="134"/>
      </rPr>
      <t>机加工工件孔口倒角合格，无毛刺，无铁屑</t>
    </r>
    <phoneticPr fontId="1" type="noConversion"/>
  </si>
  <si>
    <r>
      <t>100%</t>
    </r>
    <r>
      <rPr>
        <sz val="11"/>
        <color theme="1"/>
        <rFont val="宋体"/>
        <family val="3"/>
        <charset val="134"/>
      </rPr>
      <t>十字交叉法验证自动线</t>
    </r>
    <r>
      <rPr>
        <sz val="11"/>
        <color theme="1"/>
        <rFont val="Arial Narrow"/>
        <family val="2"/>
      </rPr>
      <t>Link</t>
    </r>
    <r>
      <rPr>
        <sz val="11"/>
        <color theme="1"/>
        <rFont val="宋体"/>
        <family val="3"/>
        <charset val="134"/>
      </rPr>
      <t>上销套</t>
    </r>
    <r>
      <rPr>
        <sz val="11"/>
        <color theme="1"/>
        <rFont val="Arial Narrow"/>
        <family val="2"/>
      </rPr>
      <t>&amp;</t>
    </r>
    <r>
      <rPr>
        <sz val="11"/>
        <color theme="1"/>
        <rFont val="宋体"/>
        <family val="3"/>
        <charset val="134"/>
      </rPr>
      <t>销子孔直径</t>
    </r>
    <phoneticPr fontId="1" type="noConversion"/>
  </si>
  <si>
    <t>Total</t>
    <phoneticPr fontId="1" type="noConversion"/>
  </si>
  <si>
    <r>
      <rPr>
        <sz val="11"/>
        <color theme="1"/>
        <rFont val="宋体"/>
        <family val="3"/>
        <charset val="134"/>
      </rPr>
      <t>区域</t>
    </r>
    <phoneticPr fontId="1" type="noConversion"/>
  </si>
  <si>
    <r>
      <rPr>
        <sz val="11"/>
        <color theme="1"/>
        <rFont val="宋体"/>
        <family val="3"/>
        <charset val="134"/>
      </rPr>
      <t>零部件</t>
    </r>
    <phoneticPr fontId="1" type="noConversion"/>
  </si>
  <si>
    <r>
      <rPr>
        <sz val="11"/>
        <color theme="1"/>
        <rFont val="宋体"/>
        <family val="3"/>
        <charset val="134"/>
      </rPr>
      <t>动静态</t>
    </r>
    <phoneticPr fontId="1" type="noConversion"/>
  </si>
  <si>
    <r>
      <rPr>
        <sz val="11"/>
        <color theme="1"/>
        <rFont val="宋体"/>
        <family val="3"/>
        <charset val="134"/>
      </rPr>
      <t>频次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3"/>
        <charset val="134"/>
      </rPr>
      <t>班</t>
    </r>
    <phoneticPr fontId="1" type="noConversion"/>
  </si>
  <si>
    <r>
      <rPr>
        <sz val="11"/>
        <color theme="1"/>
        <rFont val="宋体"/>
        <family val="3"/>
        <charset val="134"/>
      </rPr>
      <t>中班用时</t>
    </r>
    <r>
      <rPr>
        <sz val="11"/>
        <color theme="1"/>
        <rFont val="Arial Narrow"/>
        <family val="2"/>
      </rPr>
      <t>/min</t>
    </r>
    <phoneticPr fontId="1" type="noConversion"/>
  </si>
  <si>
    <r>
      <rPr>
        <sz val="11"/>
        <color theme="1"/>
        <rFont val="宋体"/>
        <family val="3"/>
        <charset val="134"/>
      </rPr>
      <t>静态</t>
    </r>
    <r>
      <rPr>
        <sz val="11"/>
        <color theme="1"/>
        <rFont val="Arial Narrow"/>
        <family val="2"/>
      </rPr>
      <t>&amp;</t>
    </r>
    <r>
      <rPr>
        <sz val="11"/>
        <color theme="1"/>
        <rFont val="宋体"/>
        <family val="3"/>
        <charset val="134"/>
      </rPr>
      <t>动态必查项</t>
    </r>
    <phoneticPr fontId="1" type="noConversion"/>
  </si>
  <si>
    <r>
      <rPr>
        <sz val="11"/>
        <color theme="1"/>
        <rFont val="宋体"/>
        <family val="3"/>
        <charset val="134"/>
      </rPr>
      <t>动态选查项</t>
    </r>
  </si>
  <si>
    <r>
      <rPr>
        <sz val="11"/>
        <color theme="1"/>
        <rFont val="宋体"/>
        <family val="3"/>
        <charset val="134"/>
      </rPr>
      <t>动态必查项</t>
    </r>
    <phoneticPr fontId="1" type="noConversion"/>
  </si>
  <si>
    <r>
      <rPr>
        <sz val="11"/>
        <color theme="1"/>
        <rFont val="宋体"/>
        <family val="3"/>
        <charset val="134"/>
      </rPr>
      <t>其他</t>
    </r>
    <phoneticPr fontId="1" type="noConversion"/>
  </si>
  <si>
    <r>
      <rPr>
        <sz val="11"/>
        <color theme="1"/>
        <rFont val="宋体"/>
        <family val="3"/>
        <charset val="134"/>
      </rPr>
      <t>其他</t>
    </r>
    <phoneticPr fontId="1" type="noConversion"/>
  </si>
  <si>
    <r>
      <rPr>
        <sz val="11"/>
        <color theme="1"/>
        <rFont val="宋体"/>
        <family val="3"/>
        <charset val="134"/>
      </rPr>
      <t>静态</t>
    </r>
  </si>
  <si>
    <r>
      <rPr>
        <sz val="11"/>
        <color theme="1"/>
        <rFont val="宋体"/>
        <family val="3"/>
        <charset val="134"/>
      </rPr>
      <t>动态选查项</t>
    </r>
    <phoneticPr fontId="1" type="noConversion"/>
  </si>
  <si>
    <r>
      <rPr>
        <sz val="11"/>
        <color theme="1"/>
        <rFont val="宋体"/>
        <family val="3"/>
        <charset val="134"/>
      </rPr>
      <t>履带的边缘整齐度小于等于</t>
    </r>
    <r>
      <rPr>
        <sz val="11"/>
        <color theme="1"/>
        <rFont val="Arial Narrow"/>
        <family val="2"/>
      </rPr>
      <t>4mm</t>
    </r>
    <r>
      <rPr>
        <sz val="11"/>
        <color theme="1"/>
        <rFont val="宋体"/>
        <family val="3"/>
        <charset val="134"/>
      </rPr>
      <t>、螺栓终扭矩及转角标记检查（白点）</t>
    </r>
    <phoneticPr fontId="1" type="noConversion"/>
  </si>
  <si>
    <r>
      <rPr>
        <sz val="11"/>
        <color theme="1"/>
        <rFont val="宋体"/>
        <family val="3"/>
        <charset val="134"/>
      </rPr>
      <t>密封圈外径涂润滑油、销子销套装配面涂油</t>
    </r>
    <phoneticPr fontId="1" type="noConversion"/>
  </si>
  <si>
    <r>
      <rPr>
        <sz val="11"/>
        <color theme="1"/>
        <rFont val="宋体"/>
        <family val="3"/>
        <charset val="134"/>
      </rPr>
      <t>螺母按照方向检查</t>
    </r>
    <r>
      <rPr>
        <sz val="11"/>
        <color theme="1"/>
        <rFont val="Arial Narrow"/>
        <family val="2"/>
      </rPr>
      <t>(</t>
    </r>
    <r>
      <rPr>
        <sz val="11"/>
        <color theme="1"/>
        <rFont val="宋体"/>
        <family val="3"/>
        <charset val="134"/>
      </rPr>
      <t>带大倒角的一侧背对链节螺母座）、螺栓露头至少一个牙、距螺栓螺母表面不允许出现缺肉、裂纹，毛刺等</t>
    </r>
    <phoneticPr fontId="1" type="noConversion"/>
  </si>
  <si>
    <r>
      <t>24</t>
    </r>
    <r>
      <rPr>
        <sz val="11"/>
        <color theme="1"/>
        <rFont val="宋体"/>
        <family val="3"/>
        <charset val="134"/>
      </rPr>
      <t>件</t>
    </r>
    <phoneticPr fontId="1" type="noConversion"/>
  </si>
  <si>
    <r>
      <t>20</t>
    </r>
    <r>
      <rPr>
        <sz val="11"/>
        <color theme="1"/>
        <rFont val="宋体"/>
        <family val="3"/>
        <charset val="134"/>
      </rPr>
      <t>件</t>
    </r>
  </si>
  <si>
    <r>
      <rPr>
        <sz val="11"/>
        <color theme="1"/>
        <rFont val="宋体"/>
        <family val="3"/>
        <charset val="134"/>
      </rPr>
      <t>轴承与轮体间隙检查</t>
    </r>
  </si>
  <si>
    <r>
      <t>5</t>
    </r>
    <r>
      <rPr>
        <sz val="11"/>
        <color theme="1"/>
        <rFont val="宋体"/>
        <family val="3"/>
        <charset val="134"/>
      </rPr>
      <t>件</t>
    </r>
  </si>
  <si>
    <r>
      <rPr>
        <sz val="11"/>
        <color theme="1"/>
        <rFont val="宋体"/>
        <family val="3"/>
        <charset val="134"/>
      </rPr>
      <t>酒精烘干性检查（拆卸密封组件胶圈检查是否烘干）</t>
    </r>
  </si>
  <si>
    <r>
      <rPr>
        <sz val="11"/>
        <color theme="1"/>
        <rFont val="宋体"/>
        <family val="3"/>
        <charset val="134"/>
      </rPr>
      <t>轮体密封圈高度检查</t>
    </r>
  </si>
  <si>
    <r>
      <rPr>
        <sz val="11"/>
        <color theme="1"/>
        <rFont val="宋体"/>
        <family val="3"/>
        <charset val="134"/>
      </rPr>
      <t>透盖密封圈高度检查</t>
    </r>
  </si>
  <si>
    <r>
      <rPr>
        <sz val="11"/>
        <color theme="1"/>
        <rFont val="宋体"/>
        <family val="3"/>
        <charset val="134"/>
      </rPr>
      <t>轴承跨距</t>
    </r>
  </si>
  <si>
    <r>
      <rPr>
        <sz val="11"/>
        <color theme="1"/>
        <rFont val="宋体"/>
        <family val="3"/>
        <charset val="134"/>
      </rPr>
      <t>轴承内径检查</t>
    </r>
  </si>
  <si>
    <r>
      <rPr>
        <sz val="11"/>
        <color theme="1"/>
        <rFont val="宋体"/>
        <family val="3"/>
        <charset val="134"/>
      </rPr>
      <t>标记打印外观质量</t>
    </r>
  </si>
  <si>
    <r>
      <rPr>
        <sz val="11"/>
        <color theme="1"/>
        <rFont val="宋体"/>
        <family val="3"/>
        <charset val="134"/>
      </rPr>
      <t>窜动量</t>
    </r>
  </si>
  <si>
    <r>
      <rPr>
        <sz val="11"/>
        <color theme="1"/>
        <rFont val="宋体"/>
        <family val="3"/>
        <charset val="134"/>
      </rPr>
      <t>油漆质量</t>
    </r>
  </si>
  <si>
    <r>
      <rPr>
        <sz val="11"/>
        <color theme="1"/>
        <rFont val="宋体"/>
        <family val="3"/>
        <charset val="134"/>
      </rPr>
      <t>丝堵扭矩值检查</t>
    </r>
  </si>
  <si>
    <r>
      <rPr>
        <sz val="11"/>
        <color theme="1"/>
        <rFont val="宋体"/>
        <family val="3"/>
        <charset val="134"/>
      </rPr>
      <t>通止规测试轮体丝堵孔，并检查螺纹，不允许有毛刺或破损等</t>
    </r>
  </si>
  <si>
    <r>
      <rPr>
        <sz val="11"/>
        <color theme="1"/>
        <rFont val="宋体"/>
        <family val="3"/>
        <charset val="134"/>
      </rPr>
      <t>打销印记检查（装配工位与成品工位）丝堵高度检查（小于等于</t>
    </r>
    <r>
      <rPr>
        <sz val="11"/>
        <color theme="1"/>
        <rFont val="Arial Narrow"/>
        <family val="2"/>
      </rPr>
      <t>1.5mm)</t>
    </r>
    <phoneticPr fontId="1" type="noConversion"/>
  </si>
  <si>
    <r>
      <rPr>
        <sz val="11"/>
        <color theme="1"/>
        <rFont val="宋体"/>
        <family val="3"/>
        <charset val="134"/>
      </rPr>
      <t>注油体积检查（手动测量注油量）</t>
    </r>
  </si>
  <si>
    <r>
      <rPr>
        <sz val="11"/>
        <color theme="1"/>
        <rFont val="宋体"/>
        <family val="3"/>
        <charset val="134"/>
      </rPr>
      <t>大轴凸台方向防错装置</t>
    </r>
  </si>
  <si>
    <r>
      <t>O</t>
    </r>
    <r>
      <rPr>
        <sz val="11"/>
        <color theme="1"/>
        <rFont val="宋体"/>
        <family val="3"/>
        <charset val="134"/>
      </rPr>
      <t>型圈漏装防错装置</t>
    </r>
  </si>
  <si>
    <r>
      <rPr>
        <sz val="11"/>
        <color theme="1"/>
        <rFont val="宋体"/>
        <family val="3"/>
        <charset val="134"/>
      </rPr>
      <t>动态选差项</t>
    </r>
    <phoneticPr fontId="1" type="noConversion"/>
  </si>
  <si>
    <r>
      <rPr>
        <sz val="11"/>
        <color theme="1"/>
        <rFont val="宋体"/>
        <family val="3"/>
        <charset val="134"/>
      </rPr>
      <t>装配前透盖、轮体清洁度检查、大轴凸台方向检查</t>
    </r>
    <phoneticPr fontId="1" type="noConversion"/>
  </si>
  <si>
    <r>
      <t>10</t>
    </r>
    <r>
      <rPr>
        <sz val="11"/>
        <color theme="1"/>
        <rFont val="宋体"/>
        <family val="3"/>
        <charset val="134"/>
      </rPr>
      <t>件</t>
    </r>
  </si>
  <si>
    <r>
      <t>OEE</t>
    </r>
    <r>
      <rPr>
        <sz val="11"/>
        <color theme="1"/>
        <rFont val="宋体"/>
        <family val="2"/>
        <charset val="134"/>
      </rPr>
      <t>时间</t>
    </r>
    <phoneticPr fontId="1" type="noConversion"/>
  </si>
  <si>
    <r>
      <rPr>
        <sz val="11"/>
        <color theme="1"/>
        <rFont val="宋体"/>
        <family val="3"/>
        <charset val="134"/>
      </rPr>
      <t>测量开口量尺寸，并审核该处</t>
    </r>
    <r>
      <rPr>
        <sz val="11"/>
        <color theme="1"/>
        <rFont val="Arial Narrow"/>
        <family val="2"/>
      </rPr>
      <t>IPV</t>
    </r>
    <r>
      <rPr>
        <sz val="11"/>
        <color theme="1"/>
        <rFont val="宋体"/>
        <family val="3"/>
        <charset val="134"/>
      </rPr>
      <t>标准化的执行。</t>
    </r>
    <phoneticPr fontId="1" type="noConversion"/>
  </si>
  <si>
    <r>
      <t>SWS</t>
    </r>
    <r>
      <rPr>
        <sz val="11"/>
        <color theme="1"/>
        <rFont val="宋体"/>
        <family val="2"/>
        <charset val="134"/>
      </rPr>
      <t>审核</t>
    </r>
    <phoneticPr fontId="1" type="noConversion"/>
  </si>
  <si>
    <t>OPM</t>
    <phoneticPr fontId="1" type="noConversion"/>
  </si>
  <si>
    <r>
      <t>CT/</t>
    </r>
    <r>
      <rPr>
        <sz val="11"/>
        <color theme="1"/>
        <rFont val="宋体"/>
        <family val="3"/>
        <charset val="134"/>
      </rPr>
      <t>秒</t>
    </r>
    <phoneticPr fontId="1" type="noConversion"/>
  </si>
  <si>
    <r>
      <rPr>
        <sz val="11"/>
        <color theme="1"/>
        <rFont val="宋体"/>
        <family val="3"/>
        <charset val="134"/>
      </rPr>
      <t>轮、</t>
    </r>
    <r>
      <rPr>
        <sz val="11"/>
        <color theme="1"/>
        <rFont val="Arial Narrow"/>
        <family val="2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 Narrow"/>
        <family val="2"/>
      </rPr>
      <t>3</t>
    </r>
    <r>
      <rPr>
        <sz val="11"/>
        <color theme="1"/>
        <rFont val="宋体"/>
        <family val="3"/>
        <charset val="134"/>
      </rPr>
      <t>线白班、夜班用时</t>
    </r>
    <r>
      <rPr>
        <sz val="11"/>
        <color theme="1"/>
        <rFont val="Arial Narrow"/>
        <family val="2"/>
      </rPr>
      <t>/min</t>
    </r>
    <phoneticPr fontId="1" type="noConversion"/>
  </si>
  <si>
    <r>
      <rPr>
        <sz val="11"/>
        <color theme="1"/>
        <rFont val="宋体"/>
        <family val="3"/>
        <charset val="134"/>
      </rPr>
      <t>涂漆、</t>
    </r>
    <r>
      <rPr>
        <sz val="11"/>
        <color theme="1"/>
        <rFont val="Arial Narrow"/>
        <family val="2"/>
      </rPr>
      <t>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 Narrow"/>
        <family val="2"/>
      </rPr>
      <t>5</t>
    </r>
    <r>
      <rPr>
        <sz val="11"/>
        <color theme="1"/>
        <rFont val="宋体"/>
        <family val="3"/>
        <charset val="134"/>
      </rPr>
      <t>线白班、夜班用时</t>
    </r>
    <r>
      <rPr>
        <sz val="11"/>
        <color theme="1"/>
        <rFont val="Arial Narrow"/>
        <family val="2"/>
      </rPr>
      <t>/min</t>
    </r>
    <phoneticPr fontId="1" type="noConversion"/>
  </si>
  <si>
    <r>
      <rPr>
        <sz val="11"/>
        <color theme="1"/>
        <rFont val="宋体"/>
        <family val="2"/>
        <charset val="134"/>
      </rPr>
      <t>项目</t>
    </r>
    <phoneticPr fontId="1" type="noConversion"/>
  </si>
  <si>
    <r>
      <rPr>
        <sz val="11"/>
        <color theme="1"/>
        <rFont val="宋体"/>
        <family val="2"/>
        <charset val="134"/>
      </rPr>
      <t>分钟</t>
    </r>
    <phoneticPr fontId="1" type="noConversion"/>
  </si>
  <si>
    <r>
      <rPr>
        <sz val="11"/>
        <color theme="1"/>
        <rFont val="宋体"/>
        <family val="2"/>
        <charset val="134"/>
      </rPr>
      <t>总工时</t>
    </r>
    <phoneticPr fontId="1" type="noConversion"/>
  </si>
  <si>
    <r>
      <rPr>
        <sz val="11"/>
        <color theme="1"/>
        <rFont val="宋体"/>
        <family val="2"/>
        <charset val="134"/>
      </rPr>
      <t>班会</t>
    </r>
    <phoneticPr fontId="1" type="noConversion"/>
  </si>
  <si>
    <r>
      <rPr>
        <sz val="11"/>
        <color theme="1"/>
        <rFont val="宋体"/>
        <family val="2"/>
        <charset val="134"/>
      </rPr>
      <t>吃饭</t>
    </r>
    <phoneticPr fontId="1" type="noConversion"/>
  </si>
  <si>
    <r>
      <rPr>
        <sz val="11"/>
        <color theme="1"/>
        <rFont val="宋体"/>
        <family val="2"/>
        <charset val="134"/>
      </rPr>
      <t>工作时间</t>
    </r>
    <phoneticPr fontId="1" type="noConversion"/>
  </si>
  <si>
    <r>
      <rPr>
        <sz val="11"/>
        <color theme="1"/>
        <rFont val="宋体"/>
        <family val="3"/>
        <charset val="134"/>
      </rPr>
      <t>有条形码的履带标签信息检查，与履带信息一致并完整</t>
    </r>
    <phoneticPr fontId="1" type="noConversion"/>
  </si>
  <si>
    <r>
      <rPr>
        <sz val="11"/>
        <color theme="1"/>
        <rFont val="宋体"/>
        <family val="3"/>
        <charset val="134"/>
      </rPr>
      <t>用时</t>
    </r>
    <r>
      <rPr>
        <sz val="11"/>
        <color theme="1"/>
        <rFont val="Arial Narrow"/>
        <family val="2"/>
      </rPr>
      <t>/</t>
    </r>
    <r>
      <rPr>
        <sz val="11"/>
        <color theme="1"/>
        <rFont val="宋体"/>
        <family val="2"/>
        <charset val="134"/>
      </rPr>
      <t>秒</t>
    </r>
    <phoneticPr fontId="1" type="noConversion"/>
  </si>
  <si>
    <t>行走时间</t>
    <phoneticPr fontId="1" type="noConversion"/>
  </si>
  <si>
    <t>送检等行走时间</t>
    <phoneticPr fontId="1" type="noConversion"/>
  </si>
  <si>
    <r>
      <rPr>
        <sz val="11"/>
        <color theme="1"/>
        <rFont val="宋体"/>
        <family val="3"/>
        <charset val="134"/>
      </rPr>
      <t>用工业内窥镜检查清洁度</t>
    </r>
    <r>
      <rPr>
        <sz val="11"/>
        <color theme="1"/>
        <rFont val="宋体"/>
        <family val="2"/>
        <charset val="134"/>
      </rPr>
      <t>、目视清洁度检查</t>
    </r>
    <phoneticPr fontId="1" type="noConversion"/>
  </si>
  <si>
    <r>
      <t>16</t>
    </r>
    <r>
      <rPr>
        <sz val="11"/>
        <color theme="1"/>
        <rFont val="宋体"/>
        <family val="3"/>
        <charset val="134"/>
      </rPr>
      <t>件</t>
    </r>
    <r>
      <rPr>
        <sz val="11"/>
        <color theme="1"/>
        <rFont val="Arial Narrow"/>
        <family val="2"/>
      </rPr>
      <t>/20</t>
    </r>
    <r>
      <rPr>
        <sz val="11"/>
        <color theme="1"/>
        <rFont val="宋体"/>
        <family val="2"/>
        <charset val="134"/>
      </rPr>
      <t>件</t>
    </r>
    <phoneticPr fontId="1" type="noConversion"/>
  </si>
  <si>
    <t>系统更新</t>
    <phoneticPr fontId="1" type="noConversion"/>
  </si>
  <si>
    <r>
      <t>OP /SC-SWS</t>
    </r>
    <r>
      <rPr>
        <sz val="11"/>
        <color theme="1"/>
        <rFont val="宋体"/>
        <family val="3"/>
        <charset val="134"/>
      </rPr>
      <t>审核</t>
    </r>
    <phoneticPr fontId="1" type="noConversion"/>
  </si>
  <si>
    <r>
      <t>BIQ</t>
    </r>
    <r>
      <rPr>
        <sz val="11"/>
        <color theme="1"/>
        <rFont val="宋体"/>
        <family val="2"/>
        <charset val="134"/>
      </rPr>
      <t>系统更新、返工单录入等</t>
    </r>
    <phoneticPr fontId="1" type="noConversion"/>
  </si>
  <si>
    <t>换炉号</t>
    <phoneticPr fontId="1" type="noConversion"/>
  </si>
  <si>
    <t>工艺送检</t>
    <phoneticPr fontId="1" type="noConversion"/>
  </si>
  <si>
    <t>Pin（CMM）</t>
  </si>
  <si>
    <t>Bushing（CMM）</t>
  </si>
  <si>
    <r>
      <rPr>
        <sz val="11"/>
        <color theme="1"/>
        <rFont val="宋体"/>
        <family val="3"/>
        <charset val="134"/>
      </rPr>
      <t>换模具号磁粉探伤</t>
    </r>
  </si>
  <si>
    <r>
      <rPr>
        <sz val="11"/>
        <color theme="1"/>
        <rFont val="宋体"/>
        <family val="3"/>
        <charset val="134"/>
      </rPr>
      <t>换型后</t>
    </r>
    <r>
      <rPr>
        <sz val="11"/>
        <color theme="1"/>
        <rFont val="Arial Narrow"/>
        <family val="3"/>
      </rPr>
      <t>H-length</t>
    </r>
    <r>
      <rPr>
        <sz val="11"/>
        <color theme="1"/>
        <rFont val="宋体"/>
        <family val="3"/>
        <charset val="134"/>
      </rPr>
      <t>检测记录并送检工艺、换型物料磁粉探伤</t>
    </r>
  </si>
  <si>
    <t>必查项汇总</t>
  </si>
  <si>
    <t>选查项汇总</t>
  </si>
  <si>
    <t>Pin</t>
    <phoneticPr fontId="1" type="noConversion"/>
  </si>
  <si>
    <t>Bushing</t>
    <phoneticPr fontId="1" type="noConversion"/>
  </si>
  <si>
    <r>
      <t>1</t>
    </r>
    <r>
      <rPr>
        <sz val="11"/>
        <color theme="1"/>
        <rFont val="宋体"/>
        <family val="2"/>
        <charset val="134"/>
      </rPr>
      <t>对</t>
    </r>
    <phoneticPr fontId="1" type="noConversion"/>
  </si>
  <si>
    <t>月度检查项</t>
    <phoneticPr fontId="1" type="noConversion"/>
  </si>
  <si>
    <r>
      <t>Pin</t>
    </r>
    <r>
      <rPr>
        <sz val="11"/>
        <color theme="1"/>
        <rFont val="微软雅黑"/>
        <family val="2"/>
        <charset val="134"/>
      </rPr>
      <t>（手检与上合并）</t>
    </r>
    <phoneticPr fontId="1" type="noConversion"/>
  </si>
  <si>
    <r>
      <t>4</t>
    </r>
    <r>
      <rPr>
        <sz val="11"/>
        <color theme="1"/>
        <rFont val="宋体"/>
        <family val="3"/>
        <charset val="134"/>
      </rPr>
      <t>对</t>
    </r>
    <phoneticPr fontId="1" type="noConversion"/>
  </si>
  <si>
    <r>
      <t>4</t>
    </r>
    <r>
      <rPr>
        <sz val="11"/>
        <color theme="1"/>
        <rFont val="宋体"/>
        <family val="2"/>
        <charset val="134"/>
      </rPr>
      <t>对</t>
    </r>
    <phoneticPr fontId="1" type="noConversion"/>
  </si>
  <si>
    <t>1对</t>
    <phoneticPr fontId="1" type="noConversion"/>
  </si>
  <si>
    <r>
      <rPr>
        <sz val="11"/>
        <color rgb="FFFF0000"/>
        <rFont val="宋体"/>
        <family val="3"/>
        <charset val="134"/>
      </rPr>
      <t>待处理物料审核</t>
    </r>
    <phoneticPr fontId="1" type="noConversion"/>
  </si>
  <si>
    <r>
      <t>OP /SC-SWS</t>
    </r>
    <r>
      <rPr>
        <sz val="11"/>
        <color rgb="FFFF0000"/>
        <rFont val="宋体"/>
        <family val="3"/>
        <charset val="134"/>
      </rPr>
      <t>审核</t>
    </r>
    <phoneticPr fontId="1" type="noConversion"/>
  </si>
  <si>
    <t>PB&amp;Link</t>
    <phoneticPr fontId="1" type="noConversion"/>
  </si>
  <si>
    <t>在线返工物料检测</t>
    <phoneticPr fontId="1" type="noConversion"/>
  </si>
  <si>
    <t>现场质量问题处理</t>
    <phoneticPr fontId="1" type="noConversion"/>
  </si>
  <si>
    <t>其它</t>
    <phoneticPr fontId="1" type="noConversion"/>
  </si>
  <si>
    <t>轮子沉孔方向朝上检查</t>
    <phoneticPr fontId="1" type="noConversion"/>
  </si>
  <si>
    <t>透盖处销子安装检查</t>
    <phoneticPr fontId="1" type="noConversion"/>
  </si>
  <si>
    <t>销子防窜印记检查</t>
    <phoneticPr fontId="1" type="noConversion"/>
  </si>
  <si>
    <r>
      <t>2</t>
    </r>
    <r>
      <rPr>
        <sz val="11"/>
        <color theme="1"/>
        <rFont val="宋体"/>
        <family val="2"/>
        <charset val="134"/>
      </rPr>
      <t>件</t>
    </r>
    <phoneticPr fontId="1" type="noConversion"/>
  </si>
  <si>
    <t>1对</t>
  </si>
  <si>
    <r>
      <t>3</t>
    </r>
    <r>
      <rPr>
        <sz val="11"/>
        <color theme="1"/>
        <rFont val="宋体"/>
        <family val="2"/>
        <charset val="134"/>
      </rPr>
      <t>对</t>
    </r>
    <phoneticPr fontId="1" type="noConversion"/>
  </si>
  <si>
    <t>20件</t>
  </si>
  <si>
    <r>
      <t>12</t>
    </r>
    <r>
      <rPr>
        <sz val="11"/>
        <color theme="1"/>
        <rFont val="宋体"/>
        <family val="3"/>
        <charset val="134"/>
      </rPr>
      <t>对</t>
    </r>
    <phoneticPr fontId="1" type="noConversion"/>
  </si>
  <si>
    <t>10对</t>
    <phoneticPr fontId="1" type="noConversion"/>
  </si>
  <si>
    <t>毒蘑菇实验</t>
    <phoneticPr fontId="1" type="noConversion"/>
  </si>
  <si>
    <t>Pin孔孔径</t>
  </si>
  <si>
    <t>Bushing孔孔径</t>
  </si>
  <si>
    <t>Pin孔与Bushing孔粗糙度</t>
  </si>
  <si>
    <t>CMM报告</t>
  </si>
  <si>
    <t>外观检查</t>
  </si>
  <si>
    <r>
      <t>Link</t>
    </r>
    <r>
      <rPr>
        <sz val="11"/>
        <color theme="1"/>
        <rFont val="宋体"/>
        <family val="2"/>
        <charset val="134"/>
      </rPr>
      <t>机加工</t>
    </r>
    <phoneticPr fontId="1" type="noConversion"/>
  </si>
  <si>
    <t>1对</t>
    <phoneticPr fontId="1" type="noConversion"/>
  </si>
  <si>
    <t>4对</t>
    <phoneticPr fontId="1" type="noConversion"/>
  </si>
  <si>
    <t>5线压痕检测</t>
  </si>
  <si>
    <r>
      <t>1</t>
    </r>
    <r>
      <rPr>
        <sz val="11"/>
        <color rgb="FFFF0000"/>
        <rFont val="宋体"/>
        <family val="3"/>
        <charset val="134"/>
      </rPr>
      <t>对</t>
    </r>
    <phoneticPr fontId="1" type="noConversion"/>
  </si>
  <si>
    <t>Link</t>
    <phoneticPr fontId="1" type="noConversion"/>
  </si>
  <si>
    <t>受限使用Link磁粉探伤</t>
    <phoneticPr fontId="1" type="noConversion"/>
  </si>
  <si>
    <t>现场检验行走时间</t>
    <phoneticPr fontId="1" type="noConversion"/>
  </si>
  <si>
    <r>
      <t>检查清洁度</t>
    </r>
    <r>
      <rPr>
        <sz val="11"/>
        <color theme="1"/>
        <rFont val="宋体"/>
        <family val="2"/>
        <charset val="134"/>
      </rPr>
      <t>、目视清洁度检查</t>
    </r>
    <phoneticPr fontId="1" type="noConversion"/>
  </si>
  <si>
    <t>L2&amp;L3线统计（S）</t>
  </si>
  <si>
    <t>状态</t>
  </si>
  <si>
    <t>类型</t>
  </si>
  <si>
    <t>静态</t>
  </si>
  <si>
    <t>P/B/L表硬&amp;H length</t>
  </si>
  <si>
    <t>P/B/L MT</t>
  </si>
  <si>
    <t>P/B尺寸检测</t>
  </si>
  <si>
    <t>P/B/L 工艺送检&amp;月度检测</t>
  </si>
  <si>
    <t>动态</t>
  </si>
  <si>
    <t>P/B/L外观目视</t>
  </si>
  <si>
    <r>
      <t>换炉号(</t>
    </r>
    <r>
      <rPr>
        <sz val="11"/>
        <color rgb="FFFF0000"/>
        <rFont val="Calibri"/>
        <family val="2"/>
        <scheme val="minor"/>
      </rPr>
      <t>MT</t>
    </r>
    <r>
      <rPr>
        <sz val="11"/>
        <color theme="1"/>
        <rFont val="Calibri"/>
        <family val="2"/>
        <scheme val="minor"/>
      </rPr>
      <t>&amp;硬度&amp;工艺&amp;尺寸）</t>
    </r>
  </si>
  <si>
    <t>履带装配审核</t>
  </si>
  <si>
    <t>支重轮审核</t>
  </si>
  <si>
    <t>PB发货件加严检测</t>
  </si>
  <si>
    <t>其他审核</t>
  </si>
  <si>
    <t>待处理物料审核</t>
  </si>
  <si>
    <t>OP /SC-SWS审核</t>
  </si>
  <si>
    <t>BIQ系统更新、返工单录入等</t>
  </si>
  <si>
    <t>在线返工物料检测</t>
  </si>
  <si>
    <t>现场质量问题处理</t>
  </si>
  <si>
    <t>(S)</t>
  </si>
  <si>
    <t>(min)</t>
  </si>
  <si>
    <t>L4&amp;L5时间统计</t>
    <phoneticPr fontId="1" type="noConversion"/>
  </si>
  <si>
    <r>
      <t>P/B/Link换型（</t>
    </r>
    <r>
      <rPr>
        <sz val="11"/>
        <color rgb="FFFF0000"/>
        <rFont val="Calibri"/>
        <family val="2"/>
        <scheme val="minor"/>
      </rPr>
      <t>MT&amp;H-T&amp;工艺&amp;尺寸</t>
    </r>
    <r>
      <rPr>
        <sz val="11"/>
        <color theme="1"/>
        <rFont val="Calibri"/>
        <family val="2"/>
        <scheme val="minor"/>
      </rPr>
      <t>）</t>
    </r>
    <phoneticPr fontId="1" type="noConversion"/>
  </si>
  <si>
    <t>P/B换型（MT）</t>
    <phoneticPr fontId="1" type="noConversion"/>
  </si>
  <si>
    <t>静态</t>
    <phoneticPr fontId="1" type="noConversion"/>
  </si>
  <si>
    <t>机加工审核</t>
    <phoneticPr fontId="1" type="noConversion"/>
  </si>
  <si>
    <t>现场检验行走时间</t>
  </si>
  <si>
    <t>毒蘑菇实验</t>
  </si>
  <si>
    <t>L1&amp;L2&amp;L3&amp;轮线时间统计</t>
    <phoneticPr fontId="1" type="noConversion"/>
  </si>
  <si>
    <t>备注</t>
    <phoneticPr fontId="1" type="noConversion"/>
  </si>
  <si>
    <t>表硬</t>
    <phoneticPr fontId="1" type="noConversion"/>
  </si>
  <si>
    <r>
      <t>4</t>
    </r>
    <r>
      <rPr>
        <sz val="11"/>
        <color theme="1"/>
        <rFont val="宋体"/>
        <family val="2"/>
        <charset val="134"/>
      </rPr>
      <t>件</t>
    </r>
    <phoneticPr fontId="1" type="noConversion"/>
  </si>
  <si>
    <r>
      <t>1</t>
    </r>
    <r>
      <rPr>
        <sz val="11"/>
        <color theme="1"/>
        <rFont val="宋体"/>
        <family val="2"/>
        <charset val="134"/>
      </rPr>
      <t>件</t>
    </r>
    <phoneticPr fontId="1" type="noConversion"/>
  </si>
  <si>
    <r>
      <t>Link</t>
    </r>
    <r>
      <rPr>
        <sz val="11"/>
        <color theme="1"/>
        <rFont val="宋体"/>
        <family val="2"/>
        <charset val="134"/>
      </rPr>
      <t>（每2小时）</t>
    </r>
    <phoneticPr fontId="1" type="noConversion"/>
  </si>
  <si>
    <r>
      <t>Link</t>
    </r>
    <r>
      <rPr>
        <sz val="11"/>
        <color theme="1"/>
        <rFont val="宋体"/>
        <family val="2"/>
        <charset val="134"/>
      </rPr>
      <t>（开班）</t>
    </r>
    <phoneticPr fontId="1" type="noConversion"/>
  </si>
  <si>
    <t>2对</t>
    <phoneticPr fontId="1" type="noConversion"/>
  </si>
  <si>
    <r>
      <t>4</t>
    </r>
    <r>
      <rPr>
        <sz val="11"/>
        <color theme="1"/>
        <rFont val="宋体"/>
        <family val="2"/>
        <charset val="134"/>
      </rPr>
      <t>线1次，5线1次</t>
    </r>
    <phoneticPr fontId="1" type="noConversion"/>
  </si>
  <si>
    <t>换型打磨时间</t>
    <phoneticPr fontId="1" type="noConversion"/>
  </si>
  <si>
    <r>
      <t>4</t>
    </r>
    <r>
      <rPr>
        <sz val="11"/>
        <color theme="1"/>
        <rFont val="宋体"/>
        <family val="2"/>
        <charset val="134"/>
      </rPr>
      <t>线1次</t>
    </r>
    <phoneticPr fontId="1" type="noConversion"/>
  </si>
  <si>
    <r>
      <t>Pin</t>
    </r>
    <r>
      <rPr>
        <sz val="11"/>
        <color theme="1"/>
        <rFont val="宋体"/>
        <family val="2"/>
        <charset val="134"/>
      </rPr>
      <t>（每</t>
    </r>
    <r>
      <rPr>
        <sz val="11"/>
        <color theme="1"/>
        <rFont val="Arial Narrow"/>
        <family val="2"/>
      </rPr>
      <t>2</t>
    </r>
    <r>
      <rPr>
        <sz val="11"/>
        <color theme="1"/>
        <rFont val="宋体"/>
        <family val="2"/>
        <charset val="134"/>
      </rPr>
      <t>小时）</t>
    </r>
    <phoneticPr fontId="1" type="noConversion"/>
  </si>
  <si>
    <r>
      <t>Bushing</t>
    </r>
    <r>
      <rPr>
        <sz val="11"/>
        <color theme="1"/>
        <rFont val="宋体"/>
        <family val="2"/>
        <charset val="134"/>
      </rPr>
      <t>（每</t>
    </r>
    <r>
      <rPr>
        <sz val="11"/>
        <color theme="1"/>
        <rFont val="Arial Narrow"/>
        <family val="2"/>
      </rPr>
      <t>2</t>
    </r>
    <r>
      <rPr>
        <sz val="11"/>
        <color theme="1"/>
        <rFont val="宋体"/>
        <family val="2"/>
        <charset val="134"/>
      </rPr>
      <t>小时）</t>
    </r>
    <phoneticPr fontId="1" type="noConversion"/>
  </si>
  <si>
    <r>
      <t>Pin</t>
    </r>
    <r>
      <rPr>
        <sz val="11"/>
        <color theme="1"/>
        <rFont val="宋体"/>
        <family val="2"/>
        <charset val="134"/>
      </rPr>
      <t>（开班）</t>
    </r>
    <phoneticPr fontId="1" type="noConversion"/>
  </si>
  <si>
    <r>
      <t>Bushing</t>
    </r>
    <r>
      <rPr>
        <sz val="11"/>
        <color theme="1"/>
        <rFont val="宋体"/>
        <family val="2"/>
        <charset val="134"/>
      </rPr>
      <t>（开班）</t>
    </r>
    <phoneticPr fontId="1" type="noConversion"/>
  </si>
  <si>
    <r>
      <t>2</t>
    </r>
    <r>
      <rPr>
        <sz val="11"/>
        <color rgb="FFFF0000"/>
        <rFont val="宋体"/>
        <family val="2"/>
        <charset val="134"/>
      </rPr>
      <t>对</t>
    </r>
    <phoneticPr fontId="1" type="noConversion"/>
  </si>
  <si>
    <r>
      <t>2</t>
    </r>
    <r>
      <rPr>
        <sz val="11"/>
        <color theme="1"/>
        <rFont val="宋体"/>
        <family val="2"/>
        <charset val="134"/>
      </rPr>
      <t>对</t>
    </r>
    <phoneticPr fontId="1" type="noConversion"/>
  </si>
  <si>
    <r>
      <t>H-length</t>
    </r>
    <r>
      <rPr>
        <sz val="11"/>
        <color theme="1"/>
        <rFont val="微软雅黑"/>
        <family val="2"/>
        <charset val="134"/>
      </rPr>
      <t>检测；</t>
    </r>
    <r>
      <rPr>
        <sz val="11"/>
        <color theme="1"/>
        <rFont val="宋体"/>
        <family val="2"/>
        <charset val="134"/>
      </rPr>
      <t>表硬（快速）</t>
    </r>
    <phoneticPr fontId="1" type="noConversion"/>
  </si>
  <si>
    <r>
      <t>H-length</t>
    </r>
    <r>
      <rPr>
        <sz val="11"/>
        <color theme="1"/>
        <rFont val="微软雅黑"/>
        <family val="2"/>
        <charset val="134"/>
      </rPr>
      <t>检测；</t>
    </r>
    <r>
      <rPr>
        <sz val="11"/>
        <color theme="1"/>
        <rFont val="宋体"/>
        <family val="2"/>
        <charset val="134"/>
      </rPr>
      <t>表硬（开班）</t>
    </r>
    <phoneticPr fontId="1" type="noConversion"/>
  </si>
  <si>
    <t>履带节数的标准化执行确认审核</t>
    <phoneticPr fontId="1" type="noConversion"/>
  </si>
  <si>
    <r>
      <rPr>
        <sz val="11"/>
        <color theme="1"/>
        <rFont val="宋体"/>
        <family val="3"/>
        <charset val="134"/>
      </rPr>
      <t>履带的边缘整齐度小于等于</t>
    </r>
    <r>
      <rPr>
        <sz val="11"/>
        <color theme="1"/>
        <rFont val="Arial Narrow"/>
        <family val="2"/>
      </rPr>
      <t>4mm</t>
    </r>
    <phoneticPr fontId="1" type="noConversion"/>
  </si>
  <si>
    <t>1条履带</t>
    <phoneticPr fontId="1" type="noConversion"/>
  </si>
  <si>
    <t>1条履带</t>
  </si>
  <si>
    <t>涡流探伤踢料，每班次约50件</t>
    <phoneticPr fontId="1" type="noConversion"/>
  </si>
  <si>
    <r>
      <t>1</t>
    </r>
    <r>
      <rPr>
        <sz val="11"/>
        <color theme="1"/>
        <rFont val="宋体"/>
        <family val="2"/>
        <charset val="134"/>
      </rPr>
      <t>次</t>
    </r>
    <phoneticPr fontId="1" type="noConversion"/>
  </si>
  <si>
    <r>
      <rPr>
        <sz val="11"/>
        <color theme="1"/>
        <rFont val="宋体"/>
        <family val="3"/>
        <charset val="134"/>
      </rPr>
      <t>生产线工作内容</t>
    </r>
    <r>
      <rPr>
        <sz val="11"/>
        <color theme="1"/>
        <rFont val="Arial Narrow"/>
        <family val="2"/>
      </rPr>
      <t xml:space="preserve"> </t>
    </r>
    <phoneticPr fontId="1" type="noConversion"/>
  </si>
  <si>
    <r>
      <t>2</t>
    </r>
    <r>
      <rPr>
        <sz val="11"/>
        <color theme="1"/>
        <rFont val="宋体"/>
        <family val="2"/>
        <charset val="134"/>
      </rPr>
      <t>线4次，3线2次</t>
    </r>
    <phoneticPr fontId="1" type="noConversion"/>
  </si>
  <si>
    <r>
      <t>1</t>
    </r>
    <r>
      <rPr>
        <sz val="11"/>
        <color theme="1"/>
        <rFont val="宋体"/>
        <family val="2"/>
        <charset val="134"/>
      </rPr>
      <t>线1次，2线1次，3线1线</t>
    </r>
    <phoneticPr fontId="1" type="noConversion"/>
  </si>
  <si>
    <r>
      <t>1</t>
    </r>
    <r>
      <rPr>
        <sz val="11"/>
        <color theme="1"/>
        <rFont val="宋体"/>
        <family val="2"/>
        <charset val="134"/>
      </rPr>
      <t>线1次，2线3次，3线1线</t>
    </r>
    <phoneticPr fontId="1" type="noConversion"/>
  </si>
  <si>
    <r>
      <t>2</t>
    </r>
    <r>
      <rPr>
        <sz val="11"/>
        <color theme="1"/>
        <rFont val="宋体"/>
        <family val="2"/>
        <charset val="134"/>
      </rPr>
      <t>线1次，3线1次</t>
    </r>
    <phoneticPr fontId="1" type="noConversion"/>
  </si>
  <si>
    <r>
      <t>1</t>
    </r>
    <r>
      <rPr>
        <sz val="11"/>
        <color theme="1"/>
        <rFont val="宋体"/>
        <family val="2"/>
        <charset val="134"/>
      </rPr>
      <t>线3次，2线3次，3线3次</t>
    </r>
    <phoneticPr fontId="1" type="noConversion"/>
  </si>
  <si>
    <r>
      <t>1</t>
    </r>
    <r>
      <rPr>
        <sz val="11"/>
        <color theme="1"/>
        <rFont val="宋体"/>
        <family val="2"/>
        <charset val="134"/>
      </rPr>
      <t>线1次，2线3次，3线1次</t>
    </r>
    <phoneticPr fontId="1" type="noConversion"/>
  </si>
  <si>
    <r>
      <t>2</t>
    </r>
    <r>
      <rPr>
        <sz val="11"/>
        <color theme="1"/>
        <rFont val="宋体"/>
        <family val="2"/>
        <charset val="134"/>
      </rPr>
      <t>线4次，3线1次</t>
    </r>
    <phoneticPr fontId="1" type="noConversion"/>
  </si>
  <si>
    <r>
      <t>2</t>
    </r>
    <r>
      <rPr>
        <sz val="11"/>
        <color theme="1"/>
        <rFont val="宋体"/>
        <family val="2"/>
        <charset val="134"/>
      </rPr>
      <t>线3次，3线1次</t>
    </r>
    <phoneticPr fontId="1" type="noConversion"/>
  </si>
  <si>
    <r>
      <t>2</t>
    </r>
    <r>
      <rPr>
        <sz val="11"/>
        <color theme="1"/>
        <rFont val="宋体"/>
        <family val="2"/>
        <charset val="134"/>
      </rPr>
      <t>线</t>
    </r>
    <r>
      <rPr>
        <sz val="11"/>
        <color theme="1"/>
        <rFont val="Arial Narrow"/>
        <family val="2"/>
      </rPr>
      <t>1</t>
    </r>
    <r>
      <rPr>
        <sz val="11"/>
        <color theme="1"/>
        <rFont val="宋体"/>
        <family val="2"/>
        <charset val="134"/>
      </rPr>
      <t>次</t>
    </r>
    <phoneticPr fontId="1" type="noConversion"/>
  </si>
  <si>
    <r>
      <t>2</t>
    </r>
    <r>
      <rPr>
        <sz val="11"/>
        <color theme="1"/>
        <rFont val="宋体"/>
        <family val="2"/>
        <charset val="134"/>
      </rPr>
      <t>线2次，3线2次</t>
    </r>
    <phoneticPr fontId="1" type="noConversion"/>
  </si>
  <si>
    <r>
      <t>2</t>
    </r>
    <r>
      <rPr>
        <sz val="11"/>
        <color theme="1"/>
        <rFont val="宋体"/>
        <family val="2"/>
        <charset val="134"/>
      </rPr>
      <t>线2次，3线2次（4小时1次）</t>
    </r>
    <phoneticPr fontId="1" type="noConversion"/>
  </si>
  <si>
    <r>
      <t>4</t>
    </r>
    <r>
      <rPr>
        <sz val="11"/>
        <color theme="1"/>
        <rFont val="宋体"/>
        <family val="2"/>
        <charset val="134"/>
      </rPr>
      <t>线4次，5线3次</t>
    </r>
    <phoneticPr fontId="1" type="noConversion"/>
  </si>
  <si>
    <r>
      <t>4</t>
    </r>
    <r>
      <rPr>
        <sz val="11"/>
        <color theme="1"/>
        <rFont val="宋体"/>
        <family val="2"/>
        <charset val="134"/>
      </rPr>
      <t>线3次，5线1次</t>
    </r>
    <phoneticPr fontId="1" type="noConversion"/>
  </si>
  <si>
    <r>
      <t>4</t>
    </r>
    <r>
      <rPr>
        <sz val="11"/>
        <color theme="1"/>
        <rFont val="宋体"/>
        <family val="2"/>
        <charset val="134"/>
      </rPr>
      <t>线3次，5线3次</t>
    </r>
    <phoneticPr fontId="1" type="noConversion"/>
  </si>
  <si>
    <r>
      <t>4</t>
    </r>
    <r>
      <rPr>
        <sz val="11"/>
        <color theme="1"/>
        <rFont val="宋体"/>
        <family val="2"/>
        <charset val="134"/>
      </rPr>
      <t>线4次，5线1次</t>
    </r>
    <phoneticPr fontId="1" type="noConversion"/>
  </si>
  <si>
    <t>销子销套链节各4线4次，5线4次</t>
    <phoneticPr fontId="1" type="noConversion"/>
  </si>
  <si>
    <t>销子销套链节各1线4次，2线4次，3线4线</t>
    <phoneticPr fontId="1" type="noConversion"/>
  </si>
  <si>
    <r>
      <t>4</t>
    </r>
    <r>
      <rPr>
        <sz val="11"/>
        <color theme="1"/>
        <rFont val="宋体"/>
        <family val="2"/>
        <charset val="134"/>
      </rPr>
      <t>线4次，5线4次</t>
    </r>
    <phoneticPr fontId="1" type="noConversion"/>
  </si>
  <si>
    <t>一周白班1次</t>
    <phoneticPr fontId="1" type="noConversion"/>
  </si>
  <si>
    <r>
      <t>4</t>
    </r>
    <r>
      <rPr>
        <sz val="11"/>
        <color theme="1"/>
        <rFont val="宋体"/>
        <family val="2"/>
        <charset val="134"/>
      </rPr>
      <t>线2次，5线2次</t>
    </r>
    <phoneticPr fontId="1" type="noConversion"/>
  </si>
  <si>
    <t>无法估量频次</t>
    <phoneticPr fontId="1" type="noConversion"/>
  </si>
  <si>
    <r>
      <t>1</t>
    </r>
    <r>
      <rPr>
        <sz val="11"/>
        <color theme="1"/>
        <rFont val="宋体"/>
        <family val="2"/>
        <charset val="134"/>
      </rPr>
      <t>班1次</t>
    </r>
    <phoneticPr fontId="1" type="noConversion"/>
  </si>
  <si>
    <t>白班1次，不合格无法估量次数</t>
    <phoneticPr fontId="1" type="noConversion"/>
  </si>
  <si>
    <t>小轮线2次，大轮线2次</t>
    <phoneticPr fontId="1" type="noConversion"/>
  </si>
  <si>
    <t>磁粉探伤（换型MT）</t>
    <phoneticPr fontId="1" type="noConversion"/>
  </si>
  <si>
    <t>磁粉探伤（换型）</t>
    <phoneticPr fontId="1" type="noConversion"/>
  </si>
  <si>
    <r>
      <t>CMT</t>
    </r>
    <r>
      <rPr>
        <sz val="11"/>
        <color theme="1"/>
        <rFont val="宋体"/>
        <family val="3"/>
        <charset val="134"/>
      </rPr>
      <t>清洁度抽检</t>
    </r>
    <phoneticPr fontId="1" type="noConversion"/>
  </si>
  <si>
    <r>
      <t>2</t>
    </r>
    <r>
      <rPr>
        <sz val="11"/>
        <color theme="1"/>
        <rFont val="宋体"/>
        <family val="2"/>
        <charset val="134"/>
      </rPr>
      <t>线3次，3线3次</t>
    </r>
    <phoneticPr fontId="1" type="noConversion"/>
  </si>
  <si>
    <t>现场检验二维码打印</t>
    <phoneticPr fontId="1" type="noConversion"/>
  </si>
  <si>
    <r>
      <rPr>
        <sz val="11"/>
        <color theme="1"/>
        <rFont val="宋体"/>
        <family val="2"/>
        <charset val="134"/>
      </rPr>
      <t>现场5</t>
    </r>
    <r>
      <rPr>
        <sz val="11"/>
        <color theme="1"/>
        <rFont val="Arial Narrow"/>
        <family val="2"/>
      </rPr>
      <t>S</t>
    </r>
    <phoneticPr fontId="1" type="noConversion"/>
  </si>
  <si>
    <r>
      <t>IQA</t>
    </r>
    <r>
      <rPr>
        <sz val="11"/>
        <color theme="1"/>
        <rFont val="宋体"/>
        <family val="2"/>
        <charset val="134"/>
      </rPr>
      <t>物料过账</t>
    </r>
    <phoneticPr fontId="1" type="noConversion"/>
  </si>
  <si>
    <r>
      <t>4</t>
    </r>
    <r>
      <rPr>
        <sz val="11"/>
        <color theme="1"/>
        <rFont val="宋体"/>
        <family val="2"/>
        <charset val="134"/>
      </rPr>
      <t>线</t>
    </r>
    <r>
      <rPr>
        <sz val="11"/>
        <color theme="1"/>
        <rFont val="Arial Narrow"/>
        <family val="2"/>
      </rPr>
      <t>CMM</t>
    </r>
    <r>
      <rPr>
        <sz val="11"/>
        <color theme="1"/>
        <rFont val="宋体"/>
        <family val="2"/>
        <charset val="134"/>
      </rPr>
      <t>检测</t>
    </r>
    <phoneticPr fontId="1" type="noConversion"/>
  </si>
  <si>
    <t>销套测量机踢料复检</t>
    <phoneticPr fontId="1" type="noConversion"/>
  </si>
  <si>
    <r>
      <t>4</t>
    </r>
    <r>
      <rPr>
        <sz val="11"/>
        <color theme="1"/>
        <rFont val="宋体"/>
        <family val="2"/>
        <charset val="134"/>
      </rPr>
      <t>线一轮</t>
    </r>
    <r>
      <rPr>
        <sz val="11"/>
        <color theme="1"/>
        <rFont val="Arial Narrow"/>
        <family val="2"/>
      </rPr>
      <t>CMM</t>
    </r>
    <r>
      <rPr>
        <sz val="11"/>
        <color theme="1"/>
        <rFont val="宋体"/>
        <family val="2"/>
        <charset val="134"/>
      </rPr>
      <t>检测</t>
    </r>
    <phoneticPr fontId="1" type="noConversion"/>
  </si>
  <si>
    <t>6对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</si>
</sst>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0.0"/>
    <numFmt numFmtId="166" formatCode="0.00_);[Red]\(0.00\)"/>
    <numFmt numFmtId="167" formatCode="_ * #,##0_ ;_ * \-#,##0_ ;_ * &quot;-&quot;??_ ;_ @_ "/>
    <numFmt numFmtId="168" formatCode="_ * #,##0.0_ ;_ * \-#,##0.0_ ;_ * &quot;-&quot;??_ ;_ @_ "/>
    <numFmt numFmtId="169" formatCode="0_);[Red]\(0\)"/>
    <numFmt numFmtId="170" formatCode="0.0_);[Red]\(0.0\)"/>
  </numFmts>
  <fonts count="2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宋体"/>
      <family val="2"/>
    </font>
    <font>
      <sz val="12"/>
      <name val="Arial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宋体"/>
      <family val="2"/>
    </font>
    <font>
      <sz val="10"/>
      <color theme="1"/>
      <name val="宋体"/>
      <family val="3"/>
      <charset val="134"/>
    </font>
    <font>
      <sz val="10"/>
      <color theme="1"/>
      <name val="Arial"/>
      <family val="2"/>
    </font>
    <font>
      <b/>
      <sz val="14"/>
      <color theme="1"/>
      <name val="Calibri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</font>
    <font>
      <sz val="11"/>
      <color theme="1"/>
      <name val="Arial Narrow"/>
      <family val="2"/>
    </font>
    <font>
      <sz val="11"/>
      <color theme="1"/>
      <name val="Arial Narrow"/>
      <family val="3"/>
      <charset val="134"/>
    </font>
    <font>
      <sz val="11"/>
      <color theme="1"/>
      <name val="Calibri"/>
      <family val="2"/>
      <scheme val="minor"/>
    </font>
    <font>
      <sz val="11"/>
      <color theme="1"/>
      <name val="Arial Narrow"/>
      <family val="3"/>
    </font>
    <font>
      <sz val="11"/>
      <color rgb="FFFF0000"/>
      <name val="Arial Narrow"/>
      <family val="2"/>
    </font>
    <font>
      <sz val="11"/>
      <color theme="1"/>
      <name val="微软雅黑"/>
      <family val="2"/>
      <charset val="134"/>
    </font>
    <font>
      <b/>
      <sz val="9"/>
      <color indexed="81"/>
      <name val="Arial Narrow"/>
      <family val="2"/>
    </font>
    <font>
      <sz val="9"/>
      <color indexed="81"/>
      <name val="Arial Narrow"/>
      <family val="2"/>
    </font>
    <font>
      <sz val="11"/>
      <color rgb="FFFF0000"/>
      <name val="宋体"/>
      <family val="3"/>
      <charset val="134"/>
    </font>
    <font>
      <sz val="11"/>
      <color rgb="FFFF0000"/>
      <name val="宋体"/>
      <family val="2"/>
      <charset val="134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 Narrow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4" fontId="14" fillId="0" borderId="0" applyFont="0" applyFill="0" applyBorder="0" applyAlignment="0" applyProtection="0">
      <alignment vertical="center"/>
    </xf>
  </cellStyleXfs>
  <cellXfs count="28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4" fontId="0" fillId="0" borderId="4" xfId="0" applyNumberFormat="1" applyBorder="1"/>
    <xf numFmtId="0" fontId="2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wrapText="1"/>
    </xf>
    <xf numFmtId="1" fontId="8" fillId="0" borderId="1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 wrapText="1"/>
    </xf>
    <xf numFmtId="0" fontId="0" fillId="0" borderId="2" xfId="0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165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" fontId="8" fillId="0" borderId="4" xfId="0" applyNumberFormat="1" applyFont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0" xfId="0" applyNumberFormat="1" applyAlignment="1">
      <alignment horizontal="center" vertical="center"/>
    </xf>
    <xf numFmtId="1" fontId="8" fillId="3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167" fontId="12" fillId="0" borderId="0" xfId="2" applyNumberFormat="1" applyFont="1" applyAlignment="1">
      <alignment vertical="center"/>
    </xf>
    <xf numFmtId="0" fontId="12" fillId="8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horizontal="center" vertical="center"/>
    </xf>
    <xf numFmtId="167" fontId="12" fillId="3" borderId="1" xfId="2" applyNumberFormat="1" applyFont="1" applyFill="1" applyBorder="1" applyAlignment="1">
      <alignment horizontal="center" vertical="center"/>
    </xf>
    <xf numFmtId="167" fontId="12" fillId="0" borderId="3" xfId="2" applyNumberFormat="1" applyFont="1" applyFill="1" applyBorder="1" applyAlignment="1">
      <alignment horizontal="center" vertical="center"/>
    </xf>
    <xf numFmtId="167" fontId="12" fillId="0" borderId="1" xfId="2" applyNumberFormat="1" applyFont="1" applyFill="1" applyBorder="1" applyAlignment="1">
      <alignment horizontal="center" vertical="center"/>
    </xf>
    <xf numFmtId="167" fontId="12" fillId="8" borderId="1" xfId="2" applyNumberFormat="1" applyFont="1" applyFill="1" applyBorder="1" applyAlignment="1">
      <alignment horizontal="center" vertical="center"/>
    </xf>
    <xf numFmtId="167" fontId="12" fillId="0" borderId="14" xfId="2" applyNumberFormat="1" applyFont="1" applyFill="1" applyBorder="1" applyAlignment="1">
      <alignment horizontal="center" vertical="center"/>
    </xf>
    <xf numFmtId="167" fontId="12" fillId="0" borderId="9" xfId="2" applyNumberFormat="1" applyFont="1" applyBorder="1" applyAlignment="1">
      <alignment horizontal="center" vertical="center"/>
    </xf>
    <xf numFmtId="167" fontId="12" fillId="0" borderId="14" xfId="2" applyNumberFormat="1" applyFont="1" applyBorder="1" applyAlignment="1">
      <alignment horizontal="center" vertical="center"/>
    </xf>
    <xf numFmtId="167" fontId="12" fillId="0" borderId="1" xfId="2" applyNumberFormat="1" applyFont="1" applyBorder="1" applyAlignment="1">
      <alignment horizontal="center" vertical="center"/>
    </xf>
    <xf numFmtId="167" fontId="12" fillId="0" borderId="2" xfId="2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2" fillId="8" borderId="1" xfId="0" applyFont="1" applyFill="1" applyBorder="1" applyAlignment="1">
      <alignment horizontal="right" vertical="center"/>
    </xf>
    <xf numFmtId="0" fontId="12" fillId="0" borderId="14" xfId="0" applyFont="1" applyBorder="1" applyAlignment="1">
      <alignment horizontal="right" vertical="center"/>
    </xf>
    <xf numFmtId="0" fontId="12" fillId="0" borderId="9" xfId="0" applyFont="1" applyBorder="1" applyAlignment="1">
      <alignment horizontal="right" vertical="center"/>
    </xf>
    <xf numFmtId="166" fontId="12" fillId="0" borderId="9" xfId="0" applyNumberFormat="1" applyFont="1" applyBorder="1" applyAlignment="1">
      <alignment horizontal="right" vertical="center"/>
    </xf>
    <xf numFmtId="166" fontId="12" fillId="0" borderId="1" xfId="0" applyNumberFormat="1" applyFont="1" applyBorder="1" applyAlignment="1">
      <alignment horizontal="right" vertical="center"/>
    </xf>
    <xf numFmtId="166" fontId="12" fillId="0" borderId="14" xfId="0" applyNumberFormat="1" applyFont="1" applyBorder="1" applyAlignment="1">
      <alignment horizontal="right" vertical="center"/>
    </xf>
    <xf numFmtId="0" fontId="12" fillId="0" borderId="5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 wrapText="1"/>
    </xf>
    <xf numFmtId="167" fontId="12" fillId="3" borderId="13" xfId="2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167" fontId="12" fillId="9" borderId="1" xfId="2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166" fontId="12" fillId="8" borderId="1" xfId="0" applyNumberFormat="1" applyFont="1" applyFill="1" applyBorder="1" applyAlignment="1">
      <alignment horizontal="right" vertical="center"/>
    </xf>
    <xf numFmtId="0" fontId="12" fillId="8" borderId="14" xfId="0" applyFont="1" applyFill="1" applyBorder="1" applyAlignment="1">
      <alignment horizontal="left" vertical="center" wrapText="1"/>
    </xf>
    <xf numFmtId="0" fontId="12" fillId="8" borderId="14" xfId="0" applyFont="1" applyFill="1" applyBorder="1" applyAlignment="1">
      <alignment horizontal="center" vertical="center"/>
    </xf>
    <xf numFmtId="167" fontId="12" fillId="8" borderId="14" xfId="2" applyNumberFormat="1" applyFont="1" applyFill="1" applyBorder="1" applyAlignment="1">
      <alignment horizontal="center" vertical="center"/>
    </xf>
    <xf numFmtId="166" fontId="12" fillId="8" borderId="14" xfId="0" applyNumberFormat="1" applyFont="1" applyFill="1" applyBorder="1" applyAlignment="1">
      <alignment horizontal="right" vertical="center"/>
    </xf>
    <xf numFmtId="0" fontId="12" fillId="9" borderId="18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vertical="center" wrapText="1"/>
    </xf>
    <xf numFmtId="167" fontId="12" fillId="9" borderId="13" xfId="2" applyNumberFormat="1" applyFont="1" applyFill="1" applyBorder="1" applyAlignment="1">
      <alignment horizontal="center" vertical="center"/>
    </xf>
    <xf numFmtId="0" fontId="12" fillId="0" borderId="16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8" borderId="13" xfId="0" applyFont="1" applyFill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8" borderId="15" xfId="0" applyFont="1" applyFill="1" applyBorder="1" applyAlignment="1">
      <alignment vertical="center"/>
    </xf>
    <xf numFmtId="0" fontId="12" fillId="5" borderId="11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 wrapText="1"/>
    </xf>
    <xf numFmtId="0" fontId="12" fillId="10" borderId="19" xfId="0" applyFont="1" applyFill="1" applyBorder="1" applyAlignment="1">
      <alignment horizontal="center" vertical="center"/>
    </xf>
    <xf numFmtId="0" fontId="12" fillId="10" borderId="14" xfId="0" applyFont="1" applyFill="1" applyBorder="1" applyAlignment="1">
      <alignment horizontal="center" vertical="center"/>
    </xf>
    <xf numFmtId="0" fontId="12" fillId="10" borderId="14" xfId="0" applyFont="1" applyFill="1" applyBorder="1" applyAlignment="1">
      <alignment vertical="center" wrapText="1"/>
    </xf>
    <xf numFmtId="167" fontId="12" fillId="10" borderId="14" xfId="2" applyNumberFormat="1" applyFont="1" applyFill="1" applyBorder="1" applyAlignment="1">
      <alignment horizontal="center" vertical="center"/>
    </xf>
    <xf numFmtId="167" fontId="12" fillId="10" borderId="15" xfId="2" applyNumberFormat="1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167" fontId="12" fillId="3" borderId="1" xfId="2" applyNumberFormat="1" applyFont="1" applyFill="1" applyBorder="1" applyAlignment="1">
      <alignment horizontal="right" vertical="center"/>
    </xf>
    <xf numFmtId="167" fontId="12" fillId="9" borderId="1" xfId="2" applyNumberFormat="1" applyFont="1" applyFill="1" applyBorder="1" applyAlignment="1">
      <alignment horizontal="right" vertical="center"/>
    </xf>
    <xf numFmtId="167" fontId="12" fillId="0" borderId="5" xfId="2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right" vertical="center"/>
    </xf>
    <xf numFmtId="0" fontId="12" fillId="0" borderId="23" xfId="0" applyFont="1" applyBorder="1" applyAlignment="1">
      <alignment vertical="center"/>
    </xf>
    <xf numFmtId="0" fontId="12" fillId="11" borderId="17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168" fontId="12" fillId="3" borderId="1" xfId="2" applyNumberFormat="1" applyFont="1" applyFill="1" applyBorder="1" applyAlignment="1">
      <alignment horizontal="center" vertical="center"/>
    </xf>
    <xf numFmtId="168" fontId="12" fillId="9" borderId="1" xfId="2" applyNumberFormat="1" applyFont="1" applyFill="1" applyBorder="1" applyAlignment="1">
      <alignment horizontal="center" vertical="center"/>
    </xf>
    <xf numFmtId="167" fontId="12" fillId="0" borderId="9" xfId="2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7" fontId="12" fillId="8" borderId="2" xfId="2" applyNumberFormat="1" applyFont="1" applyFill="1" applyBorder="1" applyAlignment="1">
      <alignment horizontal="center" vertical="center"/>
    </xf>
    <xf numFmtId="166" fontId="12" fillId="8" borderId="2" xfId="0" applyNumberFormat="1" applyFont="1" applyFill="1" applyBorder="1" applyAlignment="1">
      <alignment horizontal="right" vertical="center"/>
    </xf>
    <xf numFmtId="0" fontId="12" fillId="8" borderId="16" xfId="0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 vertical="center"/>
    </xf>
    <xf numFmtId="1" fontId="12" fillId="5" borderId="15" xfId="0" applyNumberFormat="1" applyFont="1" applyFill="1" applyBorder="1" applyAlignment="1">
      <alignment vertical="center"/>
    </xf>
    <xf numFmtId="9" fontId="12" fillId="0" borderId="0" xfId="0" applyNumberFormat="1" applyFont="1" applyAlignment="1">
      <alignment vertical="center"/>
    </xf>
    <xf numFmtId="167" fontId="12" fillId="7" borderId="1" xfId="2" applyNumberFormat="1" applyFont="1" applyFill="1" applyBorder="1" applyAlignment="1">
      <alignment horizontal="center" vertical="center"/>
    </xf>
    <xf numFmtId="167" fontId="12" fillId="12" borderId="9" xfId="2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165" fontId="12" fillId="0" borderId="5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2" fillId="0" borderId="5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2" fillId="3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vertical="center" wrapText="1"/>
    </xf>
    <xf numFmtId="167" fontId="12" fillId="3" borderId="5" xfId="2" applyNumberFormat="1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 wrapText="1"/>
    </xf>
    <xf numFmtId="0" fontId="12" fillId="5" borderId="30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left" vertical="center"/>
    </xf>
    <xf numFmtId="0" fontId="12" fillId="8" borderId="14" xfId="0" applyFont="1" applyFill="1" applyBorder="1" applyAlignment="1">
      <alignment vertical="center"/>
    </xf>
    <xf numFmtId="0" fontId="12" fillId="8" borderId="14" xfId="0" applyFont="1" applyFill="1" applyBorder="1" applyAlignment="1">
      <alignment horizontal="right" vertical="center"/>
    </xf>
    <xf numFmtId="0" fontId="16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167" fontId="12" fillId="5" borderId="9" xfId="2" applyNumberFormat="1" applyFont="1" applyFill="1" applyBorder="1" applyAlignment="1">
      <alignment horizontal="center" vertical="center"/>
    </xf>
    <xf numFmtId="167" fontId="13" fillId="5" borderId="24" xfId="2" applyNumberFormat="1" applyFont="1" applyFill="1" applyBorder="1" applyAlignment="1">
      <alignment horizontal="center" vertical="center"/>
    </xf>
    <xf numFmtId="167" fontId="12" fillId="0" borderId="9" xfId="2" applyNumberFormat="1" applyFont="1" applyFill="1" applyBorder="1" applyAlignment="1">
      <alignment horizontal="right" vertical="center"/>
    </xf>
    <xf numFmtId="167" fontId="12" fillId="0" borderId="1" xfId="2" applyNumberFormat="1" applyFont="1" applyFill="1" applyBorder="1" applyAlignment="1">
      <alignment horizontal="right" vertical="center"/>
    </xf>
    <xf numFmtId="167" fontId="12" fillId="8" borderId="1" xfId="2" applyNumberFormat="1" applyFont="1" applyFill="1" applyBorder="1" applyAlignment="1">
      <alignment horizontal="right" vertical="center"/>
    </xf>
    <xf numFmtId="167" fontId="12" fillId="8" borderId="14" xfId="2" applyNumberFormat="1" applyFont="1" applyFill="1" applyBorder="1" applyAlignment="1">
      <alignment horizontal="right" vertical="center"/>
    </xf>
    <xf numFmtId="167" fontId="12" fillId="0" borderId="2" xfId="2" applyNumberFormat="1" applyFont="1" applyFill="1" applyBorder="1" applyAlignment="1">
      <alignment horizontal="right" vertical="center"/>
    </xf>
    <xf numFmtId="167" fontId="12" fillId="0" borderId="5" xfId="2" applyNumberFormat="1" applyFont="1" applyFill="1" applyBorder="1" applyAlignment="1">
      <alignment horizontal="right" vertical="center"/>
    </xf>
    <xf numFmtId="167" fontId="12" fillId="0" borderId="14" xfId="2" applyNumberFormat="1" applyFont="1" applyFill="1" applyBorder="1" applyAlignment="1">
      <alignment horizontal="right" vertical="center"/>
    </xf>
    <xf numFmtId="167" fontId="12" fillId="0" borderId="0" xfId="2" applyNumberFormat="1" applyFont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2" fillId="13" borderId="1" xfId="0" applyFont="1" applyFill="1" applyBorder="1" applyAlignment="1">
      <alignment vertical="center"/>
    </xf>
    <xf numFmtId="0" fontId="12" fillId="13" borderId="1" xfId="0" applyFont="1" applyFill="1" applyBorder="1" applyAlignment="1">
      <alignment horizontal="center" vertical="center"/>
    </xf>
    <xf numFmtId="167" fontId="12" fillId="13" borderId="1" xfId="2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right" vertical="center"/>
    </xf>
    <xf numFmtId="0" fontId="11" fillId="13" borderId="1" xfId="0" applyFont="1" applyFill="1" applyBorder="1" applyAlignment="1">
      <alignment vertical="center" wrapText="1"/>
    </xf>
    <xf numFmtId="0" fontId="10" fillId="1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2" fillId="13" borderId="1" xfId="0" applyFont="1" applyFill="1" applyBorder="1" applyAlignment="1">
      <alignment vertical="center" wrapText="1"/>
    </xf>
    <xf numFmtId="0" fontId="11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165" fontId="12" fillId="13" borderId="1" xfId="0" applyNumberFormat="1" applyFont="1" applyFill="1" applyBorder="1" applyAlignment="1">
      <alignment horizontal="right" vertical="center"/>
    </xf>
    <xf numFmtId="167" fontId="16" fillId="13" borderId="1" xfId="2" applyNumberFormat="1" applyFont="1" applyFill="1" applyBorder="1" applyAlignment="1">
      <alignment horizontal="center" vertical="center"/>
    </xf>
    <xf numFmtId="165" fontId="16" fillId="13" borderId="1" xfId="0" applyNumberFormat="1" applyFont="1" applyFill="1" applyBorder="1" applyAlignment="1">
      <alignment horizontal="right" vertical="center"/>
    </xf>
    <xf numFmtId="0" fontId="16" fillId="1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7" fontId="16" fillId="0" borderId="1" xfId="2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0" fontId="23" fillId="15" borderId="1" xfId="0" applyFont="1" applyFill="1" applyBorder="1"/>
    <xf numFmtId="0" fontId="23" fillId="16" borderId="1" xfId="0" applyFont="1" applyFill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right"/>
    </xf>
    <xf numFmtId="0" fontId="23" fillId="0" borderId="0" xfId="0" applyFont="1" applyAlignment="1">
      <alignment horizontal="left"/>
    </xf>
    <xf numFmtId="1" fontId="23" fillId="0" borderId="0" xfId="0" applyNumberFormat="1" applyFont="1" applyAlignment="1">
      <alignment horizontal="left"/>
    </xf>
    <xf numFmtId="0" fontId="0" fillId="0" borderId="1" xfId="0" applyBorder="1" applyAlignment="1">
      <alignment vertical="center"/>
    </xf>
    <xf numFmtId="167" fontId="12" fillId="7" borderId="1" xfId="2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69" fontId="12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/>
    </xf>
    <xf numFmtId="170" fontId="12" fillId="0" borderId="1" xfId="0" applyNumberFormat="1" applyFont="1" applyBorder="1" applyAlignment="1">
      <alignment horizontal="right" vertical="center"/>
    </xf>
    <xf numFmtId="167" fontId="12" fillId="6" borderId="1" xfId="2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center" vertical="center"/>
    </xf>
    <xf numFmtId="167" fontId="13" fillId="5" borderId="2" xfId="2" applyNumberFormat="1" applyFont="1" applyFill="1" applyBorder="1" applyAlignment="1">
      <alignment horizontal="center" vertical="center"/>
    </xf>
    <xf numFmtId="167" fontId="13" fillId="5" borderId="2" xfId="2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6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13" borderId="5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vertical="center" wrapText="1"/>
    </xf>
    <xf numFmtId="0" fontId="10" fillId="13" borderId="5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2" fillId="14" borderId="31" xfId="0" applyFont="1" applyFill="1" applyBorder="1" applyAlignment="1">
      <alignment horizontal="center"/>
    </xf>
    <xf numFmtId="0" fontId="22" fillId="14" borderId="32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3" borderId="29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vertical="center" wrapText="1"/>
    </xf>
    <xf numFmtId="0" fontId="12" fillId="0" borderId="2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12" fillId="8" borderId="25" xfId="0" applyFont="1" applyFill="1" applyBorder="1" applyAlignment="1">
      <alignment horizontal="center" vertical="center"/>
    </xf>
    <xf numFmtId="0" fontId="12" fillId="8" borderId="26" xfId="0" applyFont="1" applyFill="1" applyBorder="1" applyAlignment="1">
      <alignment horizontal="center" vertical="center"/>
    </xf>
    <xf numFmtId="0" fontId="12" fillId="8" borderId="27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zoomScaleNormal="100" workbookViewId="0">
      <pane ySplit="1" topLeftCell="A2" activePane="bottomLeft" state="frozen"/>
      <selection pane="bottomLeft" activeCell="Q51" sqref="Q51"/>
    </sheetView>
  </sheetViews>
  <sheetFormatPr defaultRowHeight="14.5"/>
  <cols>
    <col min="1" max="1" width="15" bestFit="1" customWidth="1"/>
    <col min="2" max="2" width="17.6328125" style="6" customWidth="1"/>
    <col min="3" max="3" width="11.36328125" style="13" bestFit="1" customWidth="1"/>
    <col min="4" max="4" width="6" style="13" customWidth="1"/>
    <col min="5" max="5" width="7" style="13" bestFit="1" customWidth="1"/>
    <col min="6" max="6" width="7.08984375" style="13" bestFit="1" customWidth="1"/>
    <col min="7" max="12" width="9" hidden="1" customWidth="1"/>
    <col min="13" max="16" width="0" hidden="1" customWidth="1"/>
  </cols>
  <sheetData>
    <row r="1" spans="1:16">
      <c r="A1" s="18" t="s">
        <v>80</v>
      </c>
      <c r="B1" s="20" t="s">
        <v>81</v>
      </c>
      <c r="C1" s="18" t="s">
        <v>82</v>
      </c>
      <c r="D1" s="18" t="s">
        <v>68</v>
      </c>
      <c r="E1" s="18" t="s">
        <v>69</v>
      </c>
      <c r="F1" s="18" t="s">
        <v>70</v>
      </c>
      <c r="G1" s="8">
        <v>42446</v>
      </c>
      <c r="H1" s="2">
        <v>42447</v>
      </c>
      <c r="I1" s="2">
        <v>42450</v>
      </c>
      <c r="J1" s="2">
        <v>42451</v>
      </c>
      <c r="K1" s="2">
        <v>42452</v>
      </c>
      <c r="L1" s="2">
        <v>42453</v>
      </c>
      <c r="M1" s="2">
        <v>42454</v>
      </c>
      <c r="N1" s="2">
        <v>42455</v>
      </c>
      <c r="O1" s="2">
        <v>42456</v>
      </c>
      <c r="P1" s="2">
        <v>42457</v>
      </c>
    </row>
    <row r="2" spans="1:16" ht="15">
      <c r="A2" s="212" t="s">
        <v>100</v>
      </c>
      <c r="B2" s="21" t="s">
        <v>37</v>
      </c>
      <c r="C2" s="24">
        <f>D2+E2/5+F2/22</f>
        <v>20</v>
      </c>
      <c r="D2" s="19">
        <v>20</v>
      </c>
      <c r="E2" s="19"/>
      <c r="F2" s="19"/>
      <c r="G2" s="9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1"/>
      <c r="O2" s="1"/>
      <c r="P2" s="1"/>
    </row>
    <row r="3" spans="1:16" ht="15">
      <c r="A3" s="213"/>
      <c r="B3" s="21" t="s">
        <v>83</v>
      </c>
      <c r="C3" s="24">
        <f t="shared" ref="C3:C37" si="0">D3+E3/5+F3/22</f>
        <v>10</v>
      </c>
      <c r="D3" s="19">
        <v>10</v>
      </c>
      <c r="E3" s="19"/>
      <c r="F3" s="19"/>
      <c r="G3" s="9" t="s">
        <v>1</v>
      </c>
      <c r="H3" s="1"/>
      <c r="I3" s="1"/>
      <c r="J3" s="1"/>
      <c r="K3" s="1"/>
      <c r="L3" s="1"/>
      <c r="M3" s="1"/>
      <c r="N3" s="1"/>
      <c r="O3" s="1"/>
      <c r="P3" s="1"/>
    </row>
    <row r="4" spans="1:16" ht="15">
      <c r="A4" s="213"/>
      <c r="B4" s="21" t="s">
        <v>84</v>
      </c>
      <c r="C4" s="24">
        <f t="shared" si="0"/>
        <v>2.7272727272727271</v>
      </c>
      <c r="D4" s="19"/>
      <c r="E4" s="19"/>
      <c r="F4" s="19">
        <v>60</v>
      </c>
      <c r="G4" s="9"/>
      <c r="H4" s="1"/>
      <c r="I4" s="1"/>
      <c r="J4" s="1"/>
      <c r="K4" s="1"/>
      <c r="L4" s="1"/>
      <c r="M4" s="1"/>
      <c r="N4" s="1"/>
      <c r="O4" s="1"/>
      <c r="P4" s="1"/>
    </row>
    <row r="5" spans="1:16" ht="26">
      <c r="A5" s="213"/>
      <c r="B5" s="21" t="s">
        <v>63</v>
      </c>
      <c r="C5" s="24">
        <f t="shared" si="0"/>
        <v>2.7272727272727271</v>
      </c>
      <c r="D5" s="19"/>
      <c r="E5" s="19"/>
      <c r="F5" s="19">
        <v>60</v>
      </c>
      <c r="G5" s="9"/>
      <c r="H5" s="1"/>
      <c r="I5" s="1"/>
      <c r="J5" s="1"/>
      <c r="K5" s="1"/>
      <c r="L5" s="1"/>
      <c r="M5" s="1"/>
      <c r="N5" s="1"/>
      <c r="O5" s="1"/>
      <c r="P5" s="1"/>
    </row>
    <row r="6" spans="1:16" ht="15">
      <c r="A6" s="213"/>
      <c r="B6" s="48" t="s">
        <v>120</v>
      </c>
      <c r="C6" s="24">
        <f t="shared" si="0"/>
        <v>2</v>
      </c>
      <c r="D6" s="19"/>
      <c r="E6" s="19">
        <v>10</v>
      </c>
      <c r="F6" s="19"/>
      <c r="G6" s="9"/>
      <c r="H6" s="1"/>
      <c r="I6" s="1"/>
      <c r="J6" s="1"/>
      <c r="K6" s="1"/>
      <c r="L6" s="1"/>
      <c r="M6" s="1"/>
      <c r="N6" s="1"/>
      <c r="O6" s="1"/>
      <c r="P6" s="1"/>
    </row>
    <row r="7" spans="1:16" ht="15">
      <c r="A7" s="213"/>
      <c r="B7" s="49" t="s">
        <v>121</v>
      </c>
      <c r="C7" s="24">
        <f t="shared" si="0"/>
        <v>6</v>
      </c>
      <c r="D7" s="19"/>
      <c r="E7" s="19">
        <v>30</v>
      </c>
      <c r="F7" s="19"/>
      <c r="G7" s="9"/>
      <c r="H7" s="1"/>
      <c r="I7" s="1"/>
      <c r="J7" s="1"/>
      <c r="K7" s="1"/>
      <c r="L7" s="1"/>
      <c r="M7" s="1"/>
      <c r="N7" s="1"/>
      <c r="O7" s="1"/>
      <c r="P7" s="1"/>
    </row>
    <row r="8" spans="1:16" ht="15">
      <c r="A8" s="213"/>
      <c r="B8" s="49" t="s">
        <v>122</v>
      </c>
      <c r="C8" s="24">
        <f t="shared" si="0"/>
        <v>5</v>
      </c>
      <c r="D8" s="19">
        <v>5</v>
      </c>
      <c r="E8" s="19"/>
      <c r="F8" s="19"/>
      <c r="G8" s="9"/>
      <c r="H8" s="1"/>
      <c r="I8" s="1"/>
      <c r="J8" s="1"/>
      <c r="K8" s="1"/>
      <c r="L8" s="1"/>
      <c r="M8" s="1"/>
      <c r="N8" s="1"/>
      <c r="O8" s="1"/>
      <c r="P8" s="1"/>
    </row>
    <row r="9" spans="1:16" ht="15">
      <c r="A9" s="214"/>
      <c r="B9" s="21" t="s">
        <v>62</v>
      </c>
      <c r="C9" s="24">
        <f t="shared" si="0"/>
        <v>12</v>
      </c>
      <c r="D9" s="19"/>
      <c r="E9" s="19">
        <v>60</v>
      </c>
      <c r="F9" s="19"/>
      <c r="G9" s="9"/>
      <c r="H9" s="1"/>
      <c r="I9" s="1"/>
      <c r="J9" s="1"/>
      <c r="K9" s="1"/>
      <c r="L9" s="1"/>
      <c r="M9" s="1"/>
      <c r="N9" s="1"/>
      <c r="O9" s="1"/>
      <c r="P9" s="1"/>
    </row>
    <row r="10" spans="1:16" ht="15">
      <c r="A10" s="212" t="s">
        <v>85</v>
      </c>
      <c r="B10" s="21" t="s">
        <v>86</v>
      </c>
      <c r="C10" s="24">
        <f t="shared" si="0"/>
        <v>60</v>
      </c>
      <c r="D10" s="19">
        <v>60</v>
      </c>
      <c r="E10" s="19"/>
      <c r="F10" s="19"/>
      <c r="G10" s="9"/>
      <c r="H10" s="1"/>
      <c r="I10" s="1"/>
      <c r="J10" s="1"/>
      <c r="K10" s="1"/>
      <c r="L10" s="1"/>
      <c r="M10" s="1"/>
      <c r="N10" s="1"/>
      <c r="O10" s="1"/>
      <c r="P10" s="1"/>
    </row>
    <row r="11" spans="1:16" ht="15">
      <c r="A11" s="213"/>
      <c r="B11" s="21" t="s">
        <v>87</v>
      </c>
      <c r="C11" s="24">
        <f t="shared" si="0"/>
        <v>69</v>
      </c>
      <c r="D11" s="19">
        <v>69</v>
      </c>
      <c r="E11" s="19"/>
      <c r="F11" s="19"/>
      <c r="G11" s="9"/>
      <c r="H11" s="1"/>
      <c r="I11" s="1"/>
      <c r="J11" s="1"/>
      <c r="K11" s="1"/>
      <c r="L11" s="1"/>
      <c r="M11" s="1"/>
      <c r="N11" s="1"/>
      <c r="O11" s="1"/>
      <c r="P11" s="1"/>
    </row>
    <row r="12" spans="1:16" ht="15">
      <c r="A12" s="213"/>
      <c r="B12" s="48" t="s">
        <v>88</v>
      </c>
      <c r="C12" s="24">
        <f t="shared" si="0"/>
        <v>6</v>
      </c>
      <c r="D12" s="19"/>
      <c r="E12" s="19">
        <v>30</v>
      </c>
      <c r="F12" s="19"/>
      <c r="G12" s="9"/>
      <c r="H12" s="1"/>
      <c r="I12" s="1"/>
      <c r="J12" s="1"/>
      <c r="K12" s="1"/>
      <c r="L12" s="1"/>
      <c r="M12" s="1"/>
      <c r="N12" s="1"/>
      <c r="O12" s="1"/>
      <c r="P12" s="1"/>
    </row>
    <row r="13" spans="1:16" ht="15">
      <c r="A13" s="213"/>
      <c r="B13" s="21" t="s">
        <v>89</v>
      </c>
      <c r="C13" s="24">
        <f t="shared" si="0"/>
        <v>2.7272727272727271</v>
      </c>
      <c r="D13" s="19"/>
      <c r="E13" s="19"/>
      <c r="F13" s="19">
        <v>60</v>
      </c>
      <c r="G13" s="9"/>
      <c r="H13" s="1"/>
      <c r="I13" s="1"/>
      <c r="J13" s="1"/>
      <c r="K13" s="1"/>
      <c r="L13" s="1"/>
      <c r="M13" s="1"/>
      <c r="N13" s="1"/>
      <c r="O13" s="1"/>
      <c r="P13" s="1"/>
    </row>
    <row r="14" spans="1:16" ht="15">
      <c r="A14" s="213"/>
      <c r="B14" s="21" t="s">
        <v>90</v>
      </c>
      <c r="C14" s="24">
        <f t="shared" si="0"/>
        <v>40</v>
      </c>
      <c r="D14" s="19">
        <v>40</v>
      </c>
      <c r="E14" s="19"/>
      <c r="F14" s="19"/>
      <c r="G14" s="9"/>
      <c r="H14" s="1"/>
      <c r="I14" s="1"/>
      <c r="J14" s="1"/>
      <c r="K14" s="1"/>
      <c r="L14" s="1"/>
      <c r="M14" s="1"/>
      <c r="N14" s="1"/>
      <c r="O14" s="1"/>
      <c r="P14" s="1"/>
    </row>
    <row r="15" spans="1:16" ht="15">
      <c r="A15" s="213"/>
      <c r="B15" s="21" t="s">
        <v>91</v>
      </c>
      <c r="C15" s="24">
        <f t="shared" si="0"/>
        <v>2.7272727272727271</v>
      </c>
      <c r="D15" s="19"/>
      <c r="E15" s="19"/>
      <c r="F15" s="19">
        <v>60</v>
      </c>
      <c r="G15" s="9"/>
      <c r="H15" s="1"/>
      <c r="I15" s="1"/>
      <c r="J15" s="1"/>
      <c r="K15" s="1"/>
      <c r="L15" s="1"/>
      <c r="M15" s="1"/>
      <c r="N15" s="1"/>
      <c r="O15" s="1"/>
      <c r="P15" s="1"/>
    </row>
    <row r="16" spans="1:16" ht="15">
      <c r="A16" s="213"/>
      <c r="B16" s="21" t="s">
        <v>0</v>
      </c>
      <c r="C16" s="24">
        <f t="shared" si="0"/>
        <v>60</v>
      </c>
      <c r="D16" s="19">
        <v>60</v>
      </c>
      <c r="E16" s="19"/>
      <c r="F16" s="19"/>
      <c r="G16" s="9"/>
      <c r="H16" s="1"/>
      <c r="I16" s="1"/>
      <c r="J16" s="1"/>
      <c r="K16" s="1"/>
      <c r="L16" s="1"/>
      <c r="M16" s="1"/>
      <c r="N16" s="1"/>
      <c r="O16" s="1"/>
      <c r="P16" s="1"/>
    </row>
    <row r="17" spans="1:16" ht="15">
      <c r="A17" s="213"/>
      <c r="B17" s="21" t="s">
        <v>65</v>
      </c>
      <c r="C17" s="24">
        <f t="shared" si="0"/>
        <v>1.3636363636363635</v>
      </c>
      <c r="D17" s="19"/>
      <c r="E17" s="19"/>
      <c r="F17" s="19">
        <v>30</v>
      </c>
      <c r="G17" s="9"/>
      <c r="H17" s="1"/>
      <c r="I17" s="1"/>
      <c r="J17" s="1"/>
      <c r="K17" s="1"/>
      <c r="L17" s="1"/>
      <c r="M17" s="1"/>
      <c r="N17" s="1"/>
      <c r="O17" s="1"/>
      <c r="P17" s="1"/>
    </row>
    <row r="18" spans="1:16" ht="15">
      <c r="A18" s="213"/>
      <c r="B18" s="21" t="s">
        <v>66</v>
      </c>
      <c r="C18" s="24">
        <f t="shared" si="0"/>
        <v>6</v>
      </c>
      <c r="D18" s="19"/>
      <c r="E18" s="19">
        <v>30</v>
      </c>
      <c r="F18" s="19"/>
      <c r="G18" s="9"/>
      <c r="H18" s="1"/>
      <c r="I18" s="1"/>
      <c r="J18" s="1"/>
      <c r="K18" s="1"/>
      <c r="L18" s="1"/>
      <c r="M18" s="1"/>
      <c r="N18" s="1"/>
      <c r="O18" s="1"/>
      <c r="P18" s="1"/>
    </row>
    <row r="19" spans="1:16" ht="15">
      <c r="A19" s="214"/>
      <c r="B19" s="21" t="s">
        <v>92</v>
      </c>
      <c r="C19" s="24">
        <f t="shared" si="0"/>
        <v>60</v>
      </c>
      <c r="D19" s="19">
        <v>60</v>
      </c>
      <c r="E19" s="19"/>
      <c r="F19" s="19"/>
      <c r="G19" s="9"/>
      <c r="H19" s="1"/>
      <c r="I19" s="1"/>
      <c r="J19" s="1"/>
      <c r="K19" s="1"/>
      <c r="L19" s="1"/>
      <c r="M19" s="1"/>
      <c r="N19" s="1"/>
      <c r="O19" s="1"/>
      <c r="P19" s="1"/>
    </row>
    <row r="20" spans="1:16" ht="15">
      <c r="A20" s="212" t="s">
        <v>101</v>
      </c>
      <c r="B20" s="21" t="s">
        <v>59</v>
      </c>
      <c r="C20" s="24">
        <f t="shared" si="0"/>
        <v>12</v>
      </c>
      <c r="D20" s="19"/>
      <c r="E20" s="19">
        <v>60</v>
      </c>
      <c r="F20" s="19"/>
      <c r="G20" s="9"/>
      <c r="H20" s="1"/>
      <c r="I20" s="1"/>
      <c r="J20" s="1"/>
      <c r="K20" s="1"/>
      <c r="L20" s="1"/>
      <c r="M20" s="1"/>
      <c r="N20" s="1"/>
      <c r="O20" s="1"/>
      <c r="P20" s="1"/>
    </row>
    <row r="21" spans="1:16" ht="26">
      <c r="A21" s="213"/>
      <c r="B21" s="21" t="s">
        <v>60</v>
      </c>
      <c r="C21" s="24">
        <f t="shared" si="0"/>
        <v>12</v>
      </c>
      <c r="D21" s="19"/>
      <c r="E21" s="19">
        <v>60</v>
      </c>
      <c r="F21" s="19"/>
      <c r="G21" s="9"/>
      <c r="H21" s="1"/>
      <c r="I21" s="1"/>
      <c r="J21" s="1"/>
      <c r="K21" s="1"/>
      <c r="L21" s="1"/>
      <c r="M21" s="1"/>
      <c r="N21" s="1"/>
      <c r="O21" s="1"/>
      <c r="P21" s="1"/>
    </row>
    <row r="22" spans="1:16" ht="15">
      <c r="A22" s="213"/>
      <c r="B22" s="21" t="s">
        <v>93</v>
      </c>
      <c r="C22" s="24">
        <f t="shared" si="0"/>
        <v>2.7272727272727271</v>
      </c>
      <c r="D22" s="19"/>
      <c r="E22" s="19"/>
      <c r="F22" s="19">
        <v>60</v>
      </c>
      <c r="G22" s="9"/>
      <c r="H22" s="1"/>
      <c r="I22" s="1"/>
      <c r="J22" s="1"/>
      <c r="K22" s="1"/>
      <c r="L22" s="1"/>
      <c r="M22" s="1"/>
      <c r="N22" s="1"/>
      <c r="O22" s="1"/>
      <c r="P22" s="1"/>
    </row>
    <row r="23" spans="1:16" ht="15">
      <c r="A23" s="212" t="s">
        <v>94</v>
      </c>
      <c r="B23" s="48" t="s">
        <v>95</v>
      </c>
      <c r="C23" s="24">
        <f>D23+E23/5+F23/22</f>
        <v>8.1818181818181817</v>
      </c>
      <c r="D23" s="19"/>
      <c r="E23" s="19"/>
      <c r="F23" s="19">
        <v>180</v>
      </c>
      <c r="G23" s="9" t="s">
        <v>1</v>
      </c>
      <c r="H23" s="3" t="s">
        <v>1</v>
      </c>
      <c r="I23" s="3" t="s">
        <v>1</v>
      </c>
      <c r="J23" s="3" t="s">
        <v>1</v>
      </c>
      <c r="K23" s="3" t="s">
        <v>1</v>
      </c>
      <c r="L23" s="3" t="s">
        <v>1</v>
      </c>
      <c r="M23" s="1"/>
      <c r="N23" s="1"/>
      <c r="O23" s="1"/>
      <c r="P23" s="1"/>
    </row>
    <row r="24" spans="1:16" ht="26.5">
      <c r="A24" s="213"/>
      <c r="B24" s="48" t="s">
        <v>96</v>
      </c>
      <c r="C24" s="24">
        <f t="shared" si="0"/>
        <v>0.90909090909090906</v>
      </c>
      <c r="D24" s="19"/>
      <c r="E24" s="19"/>
      <c r="F24" s="19">
        <v>20</v>
      </c>
      <c r="G24" s="9"/>
      <c r="H24" s="3"/>
      <c r="I24" s="3"/>
      <c r="J24" s="3"/>
      <c r="K24" s="3"/>
      <c r="L24" s="3"/>
      <c r="M24" s="1"/>
      <c r="N24" s="1"/>
      <c r="O24" s="1"/>
      <c r="P24" s="1"/>
    </row>
    <row r="25" spans="1:16" ht="15">
      <c r="A25" s="213"/>
      <c r="B25" s="48" t="s">
        <v>49</v>
      </c>
      <c r="C25" s="24">
        <f t="shared" si="0"/>
        <v>0.45454545454545453</v>
      </c>
      <c r="D25" s="19"/>
      <c r="E25" s="19"/>
      <c r="F25" s="19">
        <v>10</v>
      </c>
      <c r="G25" s="9"/>
      <c r="H25" s="3"/>
      <c r="I25" s="3"/>
      <c r="J25" s="3"/>
      <c r="K25" s="3"/>
      <c r="L25" s="3"/>
      <c r="M25" s="1"/>
      <c r="N25" s="1"/>
      <c r="O25" s="1"/>
      <c r="P25" s="1"/>
    </row>
    <row r="26" spans="1:16" ht="15">
      <c r="A26" s="213"/>
      <c r="B26" s="48" t="s">
        <v>55</v>
      </c>
      <c r="C26" s="24">
        <f t="shared" si="0"/>
        <v>0.45454545454545453</v>
      </c>
      <c r="D26" s="19"/>
      <c r="E26" s="19"/>
      <c r="F26" s="19">
        <v>10</v>
      </c>
      <c r="G26" s="9"/>
      <c r="H26" s="3"/>
      <c r="I26" s="3"/>
      <c r="J26" s="3"/>
      <c r="K26" s="3"/>
      <c r="L26" s="3"/>
      <c r="M26" s="1"/>
      <c r="N26" s="1"/>
      <c r="O26" s="1"/>
      <c r="P26" s="1"/>
    </row>
    <row r="27" spans="1:16" ht="15">
      <c r="A27" s="213"/>
      <c r="B27" s="48" t="s">
        <v>50</v>
      </c>
      <c r="C27" s="24">
        <f t="shared" si="0"/>
        <v>1.3636363636363635</v>
      </c>
      <c r="D27" s="19"/>
      <c r="E27" s="19"/>
      <c r="F27" s="19">
        <v>30</v>
      </c>
      <c r="G27" s="9"/>
      <c r="H27" s="3"/>
      <c r="I27" s="3"/>
      <c r="J27" s="3"/>
      <c r="K27" s="3"/>
      <c r="L27" s="3"/>
      <c r="M27" s="1"/>
      <c r="N27" s="1"/>
      <c r="O27" s="1"/>
      <c r="P27" s="1"/>
    </row>
    <row r="28" spans="1:16" ht="15">
      <c r="A28" s="213"/>
      <c r="B28" s="21" t="s">
        <v>52</v>
      </c>
      <c r="C28" s="24">
        <f t="shared" si="0"/>
        <v>0.90909090909090906</v>
      </c>
      <c r="D28" s="19"/>
      <c r="E28" s="19"/>
      <c r="F28" s="19">
        <v>20</v>
      </c>
      <c r="G28" s="9"/>
      <c r="H28" s="3"/>
      <c r="I28" s="3"/>
      <c r="J28" s="3"/>
      <c r="K28" s="3"/>
      <c r="L28" s="3"/>
      <c r="M28" s="1"/>
      <c r="N28" s="1"/>
      <c r="O28" s="1"/>
      <c r="P28" s="1"/>
    </row>
    <row r="29" spans="1:16" ht="15">
      <c r="A29" s="213"/>
      <c r="B29" s="21" t="s">
        <v>53</v>
      </c>
      <c r="C29" s="24">
        <f t="shared" si="0"/>
        <v>1.8181818181818181</v>
      </c>
      <c r="D29" s="19"/>
      <c r="E29" s="19"/>
      <c r="F29" s="19">
        <v>40</v>
      </c>
      <c r="G29" s="9"/>
      <c r="H29" s="3"/>
      <c r="I29" s="3"/>
      <c r="J29" s="3"/>
      <c r="K29" s="3"/>
      <c r="L29" s="3"/>
      <c r="M29" s="1"/>
      <c r="N29" s="1"/>
      <c r="O29" s="1"/>
      <c r="P29" s="1"/>
    </row>
    <row r="30" spans="1:16" ht="26">
      <c r="A30" s="213"/>
      <c r="B30" s="21" t="s">
        <v>54</v>
      </c>
      <c r="C30" s="24">
        <f t="shared" si="0"/>
        <v>0.45454545454545453</v>
      </c>
      <c r="D30" s="19"/>
      <c r="E30" s="19"/>
      <c r="F30" s="19">
        <v>10</v>
      </c>
      <c r="G30" s="9"/>
      <c r="H30" s="3"/>
      <c r="I30" s="3"/>
      <c r="J30" s="3"/>
      <c r="K30" s="3"/>
      <c r="L30" s="3"/>
      <c r="M30" s="1"/>
      <c r="N30" s="1"/>
      <c r="O30" s="1"/>
      <c r="P30" s="1"/>
    </row>
    <row r="31" spans="1:16" ht="26">
      <c r="A31" s="213"/>
      <c r="B31" s="21" t="s">
        <v>56</v>
      </c>
      <c r="C31" s="24">
        <f t="shared" si="0"/>
        <v>2.7272727272727271</v>
      </c>
      <c r="D31" s="19"/>
      <c r="E31" s="19"/>
      <c r="F31" s="19">
        <v>60</v>
      </c>
      <c r="G31" s="9"/>
      <c r="H31" s="3"/>
      <c r="I31" s="3"/>
      <c r="J31" s="3"/>
      <c r="K31" s="3"/>
      <c r="L31" s="3"/>
      <c r="M31" s="1"/>
      <c r="N31" s="1"/>
      <c r="O31" s="1"/>
      <c r="P31" s="1"/>
    </row>
    <row r="32" spans="1:16" ht="15">
      <c r="A32" s="213"/>
      <c r="B32" s="21" t="s">
        <v>57</v>
      </c>
      <c r="C32" s="24">
        <f t="shared" si="0"/>
        <v>5.4545454545454541</v>
      </c>
      <c r="D32" s="19"/>
      <c r="E32" s="19"/>
      <c r="F32" s="19">
        <v>120</v>
      </c>
      <c r="G32" s="9"/>
      <c r="H32" s="3"/>
      <c r="I32" s="3"/>
      <c r="J32" s="3"/>
      <c r="K32" s="3"/>
      <c r="L32" s="3"/>
      <c r="M32" s="1"/>
      <c r="N32" s="1"/>
      <c r="O32" s="1"/>
      <c r="P32" s="1"/>
    </row>
    <row r="33" spans="1:16" ht="15">
      <c r="A33" s="213"/>
      <c r="B33" s="21" t="s">
        <v>58</v>
      </c>
      <c r="C33" s="24">
        <f t="shared" si="0"/>
        <v>0.90909090909090906</v>
      </c>
      <c r="D33" s="19"/>
      <c r="E33" s="19"/>
      <c r="F33" s="19">
        <v>20</v>
      </c>
      <c r="G33" s="9"/>
      <c r="H33" s="3"/>
      <c r="I33" s="3"/>
      <c r="J33" s="3"/>
      <c r="K33" s="3"/>
      <c r="L33" s="3"/>
      <c r="M33" s="1"/>
      <c r="N33" s="1"/>
      <c r="O33" s="1"/>
      <c r="P33" s="1"/>
    </row>
    <row r="34" spans="1:16" ht="15">
      <c r="A34" s="213"/>
      <c r="B34" s="21" t="s">
        <v>97</v>
      </c>
      <c r="C34" s="24">
        <f t="shared" si="0"/>
        <v>7.2727272727272725</v>
      </c>
      <c r="D34" s="19"/>
      <c r="E34" s="19"/>
      <c r="F34" s="19">
        <v>160</v>
      </c>
      <c r="G34" s="9"/>
      <c r="H34" s="3"/>
      <c r="I34" s="3"/>
      <c r="J34" s="3"/>
      <c r="K34" s="3"/>
      <c r="L34" s="3"/>
      <c r="M34" s="1"/>
      <c r="N34" s="1"/>
      <c r="O34" s="1"/>
      <c r="P34" s="1"/>
    </row>
    <row r="35" spans="1:16" ht="15">
      <c r="A35" s="213"/>
      <c r="B35" s="21" t="s">
        <v>64</v>
      </c>
      <c r="C35" s="24">
        <f t="shared" si="0"/>
        <v>6</v>
      </c>
      <c r="D35" s="19"/>
      <c r="E35" s="19">
        <v>30</v>
      </c>
      <c r="F35" s="19"/>
      <c r="G35" s="9"/>
      <c r="H35" s="3"/>
      <c r="I35" s="3"/>
      <c r="J35" s="3"/>
      <c r="K35" s="3"/>
      <c r="L35" s="3"/>
      <c r="M35" s="1"/>
      <c r="N35" s="1"/>
      <c r="O35" s="1"/>
      <c r="P35" s="1"/>
    </row>
    <row r="36" spans="1:16" ht="15">
      <c r="A36" s="214"/>
      <c r="B36" s="21" t="s">
        <v>98</v>
      </c>
      <c r="C36" s="24">
        <f t="shared" si="0"/>
        <v>2.7272727272727271</v>
      </c>
      <c r="D36" s="19"/>
      <c r="E36" s="19"/>
      <c r="F36" s="19">
        <v>60</v>
      </c>
      <c r="G36" s="9"/>
      <c r="H36" s="3"/>
      <c r="I36" s="3"/>
      <c r="J36" s="3"/>
      <c r="K36" s="3"/>
      <c r="L36" s="3"/>
      <c r="M36" s="1"/>
      <c r="N36" s="1"/>
      <c r="O36" s="1"/>
      <c r="P36" s="1"/>
    </row>
    <row r="37" spans="1:16" ht="15">
      <c r="A37" s="212" t="s">
        <v>67</v>
      </c>
      <c r="B37" s="21" t="s">
        <v>61</v>
      </c>
      <c r="C37" s="24">
        <f t="shared" si="0"/>
        <v>21.818181818181817</v>
      </c>
      <c r="D37" s="19"/>
      <c r="E37" s="19"/>
      <c r="F37" s="19">
        <v>480</v>
      </c>
      <c r="G37" s="9"/>
      <c r="H37" s="3"/>
      <c r="I37" s="3"/>
      <c r="J37" s="3"/>
      <c r="K37" s="3"/>
      <c r="L37" s="3"/>
      <c r="M37" s="1"/>
      <c r="N37" s="1"/>
      <c r="O37" s="1"/>
      <c r="P37" s="1"/>
    </row>
    <row r="38" spans="1:16" ht="25">
      <c r="A38" s="214"/>
      <c r="B38" s="21" t="s">
        <v>51</v>
      </c>
      <c r="C38" s="24">
        <f>D38+E38/5+F38/22</f>
        <v>18</v>
      </c>
      <c r="D38" s="19"/>
      <c r="E38" s="19">
        <v>90</v>
      </c>
      <c r="F38" s="19"/>
      <c r="G38" s="9"/>
      <c r="H38" s="3"/>
      <c r="I38" s="3"/>
      <c r="J38" s="3"/>
      <c r="K38" s="3"/>
      <c r="L38" s="3"/>
      <c r="M38" s="1"/>
      <c r="N38" s="1"/>
      <c r="O38" s="1"/>
      <c r="P38" s="1"/>
    </row>
    <row r="39" spans="1:16" ht="14">
      <c r="A39" s="19"/>
      <c r="B39" s="36" t="s">
        <v>111</v>
      </c>
      <c r="C39" s="24">
        <f>SUM(C2:C37)</f>
        <v>456.4545454545455</v>
      </c>
      <c r="D39" s="24">
        <f t="shared" ref="D39:P39" si="1">SUM(D2:D37)</f>
        <v>324</v>
      </c>
      <c r="E39" s="24">
        <f t="shared" si="1"/>
        <v>310</v>
      </c>
      <c r="F39" s="24">
        <f t="shared" si="1"/>
        <v>1550</v>
      </c>
      <c r="G39" s="37">
        <f t="shared" si="1"/>
        <v>0</v>
      </c>
      <c r="H39" s="24">
        <f t="shared" si="1"/>
        <v>0</v>
      </c>
      <c r="I39" s="24">
        <f t="shared" si="1"/>
        <v>0</v>
      </c>
      <c r="J39" s="24">
        <f t="shared" si="1"/>
        <v>0</v>
      </c>
      <c r="K39" s="24">
        <f t="shared" si="1"/>
        <v>0</v>
      </c>
      <c r="L39" s="24">
        <f t="shared" si="1"/>
        <v>0</v>
      </c>
      <c r="M39" s="24">
        <f t="shared" si="1"/>
        <v>0</v>
      </c>
      <c r="N39" s="24">
        <f t="shared" si="1"/>
        <v>0</v>
      </c>
      <c r="O39" s="24">
        <f t="shared" si="1"/>
        <v>0</v>
      </c>
      <c r="P39" s="24">
        <f t="shared" si="1"/>
        <v>0</v>
      </c>
    </row>
    <row r="40" spans="1:16" ht="14">
      <c r="A40" s="215" t="s">
        <v>99</v>
      </c>
      <c r="B40" s="22" t="s">
        <v>100</v>
      </c>
      <c r="C40" s="47">
        <f>SUM(C2:C9)</f>
        <v>60.454545454545453</v>
      </c>
      <c r="D40" s="19"/>
      <c r="E40" s="19"/>
      <c r="F40" s="19"/>
    </row>
    <row r="41" spans="1:16" ht="14">
      <c r="A41" s="215"/>
      <c r="B41" s="22" t="s">
        <v>79</v>
      </c>
      <c r="C41" s="25">
        <v>255</v>
      </c>
      <c r="D41" s="19"/>
      <c r="E41" s="19"/>
      <c r="F41" s="19"/>
    </row>
    <row r="42" spans="1:16" ht="14">
      <c r="A42" s="215"/>
      <c r="B42" s="22" t="s">
        <v>101</v>
      </c>
      <c r="C42" s="25">
        <v>27</v>
      </c>
      <c r="D42" s="19"/>
      <c r="E42" s="19"/>
      <c r="F42" s="19"/>
    </row>
    <row r="43" spans="1:16" ht="14">
      <c r="A43" s="215"/>
      <c r="B43" s="26" t="s">
        <v>103</v>
      </c>
      <c r="C43" s="25">
        <v>43</v>
      </c>
      <c r="D43" s="19"/>
      <c r="E43" s="19"/>
      <c r="F43" s="19"/>
    </row>
    <row r="44" spans="1:16" ht="14">
      <c r="A44" s="215"/>
      <c r="B44" s="23" t="s">
        <v>104</v>
      </c>
      <c r="C44" s="25">
        <v>22</v>
      </c>
      <c r="D44" s="19"/>
      <c r="E44" s="19"/>
      <c r="F44" s="19"/>
    </row>
    <row r="45" spans="1:16" ht="14">
      <c r="A45" s="215"/>
      <c r="B45" s="23" t="s">
        <v>102</v>
      </c>
      <c r="C45" s="47">
        <f>SUM(C40:C44)</f>
        <v>407.45454545454544</v>
      </c>
      <c r="D45" s="19"/>
      <c r="E45" s="19"/>
      <c r="F45" s="19"/>
    </row>
  </sheetData>
  <mergeCells count="6">
    <mergeCell ref="A23:A36"/>
    <mergeCell ref="A2:A9"/>
    <mergeCell ref="A20:A22"/>
    <mergeCell ref="A10:A19"/>
    <mergeCell ref="A40:A45"/>
    <mergeCell ref="A37:A38"/>
  </mergeCells>
  <phoneticPr fontId="1" type="noConversion"/>
  <pageMargins left="0.7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8"/>
  <sheetViews>
    <sheetView topLeftCell="A10" workbookViewId="0">
      <selection activeCell="F32" sqref="F32"/>
    </sheetView>
  </sheetViews>
  <sheetFormatPr defaultRowHeight="14.5"/>
  <cols>
    <col min="1" max="2" width="11" customWidth="1"/>
    <col min="3" max="3" width="10.6328125" customWidth="1"/>
    <col min="4" max="4" width="14" customWidth="1"/>
    <col min="6" max="7" width="11" bestFit="1" customWidth="1"/>
    <col min="10" max="10" width="11" bestFit="1" customWidth="1"/>
    <col min="14" max="14" width="11" bestFit="1" customWidth="1"/>
    <col min="17" max="17" width="0" hidden="1" customWidth="1"/>
    <col min="18" max="18" width="11" hidden="1" customWidth="1"/>
    <col min="19" max="24" width="0" hidden="1" customWidth="1"/>
  </cols>
  <sheetData>
    <row r="1" spans="1:24">
      <c r="A1" s="216" t="s">
        <v>113</v>
      </c>
      <c r="B1" s="216"/>
      <c r="C1" s="216"/>
      <c r="D1" s="216"/>
      <c r="E1" s="216" t="s">
        <v>114</v>
      </c>
      <c r="F1" s="216"/>
      <c r="G1" s="216"/>
      <c r="H1" s="216"/>
      <c r="I1" s="216" t="s">
        <v>115</v>
      </c>
      <c r="J1" s="216"/>
      <c r="K1" s="216"/>
      <c r="L1" s="216"/>
      <c r="M1" s="216" t="s">
        <v>112</v>
      </c>
      <c r="N1" s="216"/>
      <c r="O1" s="216"/>
      <c r="P1" s="216"/>
      <c r="Q1" s="216" t="s">
        <v>116</v>
      </c>
      <c r="R1" s="216"/>
      <c r="S1" s="216"/>
      <c r="T1" s="216"/>
      <c r="U1" s="216" t="s">
        <v>117</v>
      </c>
      <c r="V1" s="216"/>
      <c r="W1" s="216"/>
      <c r="X1" s="216"/>
    </row>
    <row r="2" spans="1:24">
      <c r="A2" s="35" t="s">
        <v>72</v>
      </c>
      <c r="B2" s="35" t="s">
        <v>78</v>
      </c>
      <c r="C2" s="35" t="s">
        <v>73</v>
      </c>
      <c r="D2" s="35" t="s">
        <v>74</v>
      </c>
      <c r="E2" s="35" t="s">
        <v>72</v>
      </c>
      <c r="F2" s="35" t="s">
        <v>78</v>
      </c>
      <c r="G2" s="35" t="s">
        <v>73</v>
      </c>
      <c r="H2" s="35" t="s">
        <v>74</v>
      </c>
      <c r="I2" s="35" t="s">
        <v>72</v>
      </c>
      <c r="J2" s="35" t="s">
        <v>78</v>
      </c>
      <c r="K2" s="35" t="s">
        <v>73</v>
      </c>
      <c r="L2" s="35" t="s">
        <v>74</v>
      </c>
      <c r="M2" s="35" t="s">
        <v>72</v>
      </c>
      <c r="N2" s="35" t="s">
        <v>78</v>
      </c>
      <c r="O2" s="35" t="s">
        <v>73</v>
      </c>
      <c r="P2" s="35" t="s">
        <v>74</v>
      </c>
      <c r="Q2" s="35" t="s">
        <v>72</v>
      </c>
      <c r="R2" s="35" t="s">
        <v>78</v>
      </c>
      <c r="S2" s="35" t="s">
        <v>73</v>
      </c>
      <c r="T2" s="35" t="s">
        <v>74</v>
      </c>
      <c r="U2" s="35" t="s">
        <v>72</v>
      </c>
      <c r="V2" s="35" t="s">
        <v>78</v>
      </c>
      <c r="W2" s="35" t="s">
        <v>73</v>
      </c>
      <c r="X2" s="35" t="s">
        <v>74</v>
      </c>
    </row>
    <row r="3" spans="1:24">
      <c r="A3" s="10" t="s">
        <v>71</v>
      </c>
      <c r="B3" s="10">
        <v>3</v>
      </c>
      <c r="C3" s="10">
        <f>QG!$E4</f>
        <v>113</v>
      </c>
      <c r="D3" s="217">
        <f>((B3*C3+B4*C4+B5*C5+B6*C6+B7*C7)-30-2*50)/440</f>
        <v>1.5511363636363635</v>
      </c>
      <c r="E3" s="10" t="s">
        <v>71</v>
      </c>
      <c r="F3" s="10">
        <v>4</v>
      </c>
      <c r="G3" s="10">
        <f>QG!E4</f>
        <v>113</v>
      </c>
      <c r="H3" s="217">
        <f>((F3*G3+F4*G4+F5*G5+F6*G6+F7*G7)-30-2*50)/440</f>
        <v>1.5136363636363637</v>
      </c>
      <c r="I3" s="10" t="s">
        <v>71</v>
      </c>
      <c r="J3" s="10">
        <v>4</v>
      </c>
      <c r="K3" s="10">
        <f>QG!$E4</f>
        <v>113</v>
      </c>
      <c r="L3" s="217">
        <f>((J3*K3+J4*K4+J5*K5+J6*K6+J7*K7)-30-2*50)/440</f>
        <v>2.0272727272727273</v>
      </c>
      <c r="M3" s="10" t="s">
        <v>71</v>
      </c>
      <c r="N3" s="10">
        <v>4</v>
      </c>
      <c r="O3" s="10">
        <f>QG!$E4</f>
        <v>113</v>
      </c>
      <c r="P3" s="217">
        <f>((N3*O3+N4*O4+N5*O5+N6*O6+N7*O7)-30-2*50)/440</f>
        <v>1.5136363636363637</v>
      </c>
      <c r="Q3" s="10" t="s">
        <v>71</v>
      </c>
      <c r="R3" s="10">
        <v>3</v>
      </c>
      <c r="S3" s="10">
        <f>QG!$E4</f>
        <v>113</v>
      </c>
      <c r="T3" s="217">
        <f>((R3*S3+R4*S4+R5*S5+R6*S6+R7*S7)-6*30)/440</f>
        <v>1.4375</v>
      </c>
      <c r="U3" s="10" t="s">
        <v>71</v>
      </c>
      <c r="V3" s="10">
        <v>4</v>
      </c>
      <c r="W3" s="10">
        <f>QG!$E4</f>
        <v>113</v>
      </c>
      <c r="X3" s="217">
        <f>((V3*W3+V4*W4+V5*W5+V6*W6+V7*W7)-6*30)/440</f>
        <v>1.2113636363636364</v>
      </c>
    </row>
    <row r="4" spans="1:24">
      <c r="A4" s="10" t="s">
        <v>17</v>
      </c>
      <c r="B4" s="10">
        <v>3</v>
      </c>
      <c r="C4" s="10">
        <f>QG!$E5</f>
        <v>40.5</v>
      </c>
      <c r="D4" s="218"/>
      <c r="E4" s="10" t="s">
        <v>17</v>
      </c>
      <c r="F4" s="10">
        <v>2</v>
      </c>
      <c r="G4" s="10">
        <f>QG!E6</f>
        <v>10</v>
      </c>
      <c r="H4" s="218"/>
      <c r="I4" s="10" t="s">
        <v>17</v>
      </c>
      <c r="J4" s="10">
        <v>3</v>
      </c>
      <c r="K4" s="10">
        <f>QG!$E6</f>
        <v>10</v>
      </c>
      <c r="L4" s="218"/>
      <c r="M4" s="10" t="s">
        <v>17</v>
      </c>
      <c r="N4" s="10">
        <v>2</v>
      </c>
      <c r="O4" s="10">
        <f>QG!$E6</f>
        <v>10</v>
      </c>
      <c r="P4" s="218"/>
      <c r="Q4" s="10" t="s">
        <v>17</v>
      </c>
      <c r="R4" s="10">
        <v>3</v>
      </c>
      <c r="S4" s="10">
        <f>QG!$E5</f>
        <v>40.5</v>
      </c>
      <c r="T4" s="218"/>
      <c r="U4" s="10" t="s">
        <v>17</v>
      </c>
      <c r="V4" s="10">
        <v>2</v>
      </c>
      <c r="W4" s="10">
        <f>QG!$E5</f>
        <v>40.5</v>
      </c>
      <c r="X4" s="218"/>
    </row>
    <row r="5" spans="1:24">
      <c r="A5" s="10" t="s">
        <v>19</v>
      </c>
      <c r="B5" s="10">
        <v>3</v>
      </c>
      <c r="C5" s="10">
        <f>QG!$E6</f>
        <v>10</v>
      </c>
      <c r="D5" s="218"/>
      <c r="E5" s="10" t="s">
        <v>19</v>
      </c>
      <c r="F5" s="10">
        <v>2</v>
      </c>
      <c r="G5" s="10">
        <f>QG!E7</f>
        <v>80</v>
      </c>
      <c r="H5" s="218"/>
      <c r="I5" s="10" t="s">
        <v>19</v>
      </c>
      <c r="J5" s="10">
        <v>3</v>
      </c>
      <c r="K5" s="10">
        <f>QG!$E7</f>
        <v>80</v>
      </c>
      <c r="L5" s="218"/>
      <c r="M5" s="10" t="s">
        <v>19</v>
      </c>
      <c r="N5" s="10">
        <v>2</v>
      </c>
      <c r="O5" s="10">
        <f>QG!$E7</f>
        <v>80</v>
      </c>
      <c r="P5" s="218"/>
      <c r="Q5" s="10" t="s">
        <v>19</v>
      </c>
      <c r="R5" s="10">
        <v>3</v>
      </c>
      <c r="S5" s="10">
        <f>QG!$E6</f>
        <v>10</v>
      </c>
      <c r="T5" s="218"/>
      <c r="U5" s="10" t="s">
        <v>19</v>
      </c>
      <c r="V5" s="10">
        <v>2</v>
      </c>
      <c r="W5" s="10">
        <f>QG!$E6</f>
        <v>10</v>
      </c>
      <c r="X5" s="218"/>
    </row>
    <row r="6" spans="1:24">
      <c r="A6" s="10" t="s">
        <v>75</v>
      </c>
      <c r="B6" s="10">
        <v>3</v>
      </c>
      <c r="C6" s="10">
        <f>QG!$E7</f>
        <v>80</v>
      </c>
      <c r="D6" s="218"/>
      <c r="E6" s="10" t="s">
        <v>75</v>
      </c>
      <c r="F6" s="10">
        <v>2</v>
      </c>
      <c r="G6" s="10">
        <f>QG!E8</f>
        <v>82</v>
      </c>
      <c r="H6" s="218"/>
      <c r="I6" s="10" t="s">
        <v>75</v>
      </c>
      <c r="J6" s="10">
        <v>3</v>
      </c>
      <c r="K6" s="10">
        <f>QG!$E8</f>
        <v>82</v>
      </c>
      <c r="L6" s="218"/>
      <c r="M6" s="10" t="s">
        <v>75</v>
      </c>
      <c r="N6" s="10">
        <v>2</v>
      </c>
      <c r="O6" s="10">
        <f>QG!$E8</f>
        <v>82</v>
      </c>
      <c r="P6" s="218"/>
      <c r="Q6" s="10" t="s">
        <v>75</v>
      </c>
      <c r="R6" s="10">
        <v>3</v>
      </c>
      <c r="S6" s="10">
        <f>QG!$E7</f>
        <v>80</v>
      </c>
      <c r="T6" s="218"/>
      <c r="U6" s="10" t="s">
        <v>75</v>
      </c>
      <c r="V6" s="10">
        <v>2</v>
      </c>
      <c r="W6" s="10">
        <f>QG!$E7</f>
        <v>80</v>
      </c>
      <c r="X6" s="218"/>
    </row>
    <row r="7" spans="1:24">
      <c r="A7" s="10" t="s">
        <v>76</v>
      </c>
      <c r="B7" s="10">
        <v>1</v>
      </c>
      <c r="C7" s="10">
        <f>QG!$E8</f>
        <v>82</v>
      </c>
      <c r="D7" s="218"/>
      <c r="E7" s="10" t="s">
        <v>27</v>
      </c>
      <c r="F7" s="10">
        <v>0</v>
      </c>
      <c r="G7" s="10">
        <f>QG!E9</f>
        <v>54</v>
      </c>
      <c r="H7" s="218"/>
      <c r="I7" s="10" t="s">
        <v>27</v>
      </c>
      <c r="J7" s="10">
        <v>1</v>
      </c>
      <c r="K7" s="10">
        <f>QG!$E9</f>
        <v>54</v>
      </c>
      <c r="L7" s="218"/>
      <c r="M7" s="10" t="s">
        <v>27</v>
      </c>
      <c r="N7" s="10">
        <v>0</v>
      </c>
      <c r="O7" s="10">
        <f>QG!$E9</f>
        <v>54</v>
      </c>
      <c r="P7" s="218"/>
      <c r="Q7" s="10" t="s">
        <v>27</v>
      </c>
      <c r="R7" s="10">
        <v>1</v>
      </c>
      <c r="S7" s="10">
        <f>QG!$E8</f>
        <v>82</v>
      </c>
      <c r="T7" s="218"/>
      <c r="U7" s="10" t="s">
        <v>27</v>
      </c>
      <c r="V7" s="10">
        <v>0</v>
      </c>
      <c r="W7" s="10">
        <f>QG!$E8</f>
        <v>82</v>
      </c>
      <c r="X7" s="218"/>
    </row>
    <row r="8" spans="1:24">
      <c r="A8" s="10" t="s">
        <v>77</v>
      </c>
      <c r="B8" s="10">
        <v>1</v>
      </c>
      <c r="C8" s="10">
        <f>QG!$E9</f>
        <v>54</v>
      </c>
      <c r="D8" s="219"/>
      <c r="E8" s="10" t="s">
        <v>32</v>
      </c>
      <c r="F8" s="10">
        <v>0</v>
      </c>
      <c r="G8" s="10">
        <f>QG!E10</f>
        <v>5</v>
      </c>
      <c r="H8" s="219"/>
      <c r="I8" s="10" t="s">
        <v>32</v>
      </c>
      <c r="J8" s="10">
        <v>1</v>
      </c>
      <c r="K8" s="10">
        <f>QG!$E10</f>
        <v>5</v>
      </c>
      <c r="L8" s="219"/>
      <c r="M8" s="10" t="s">
        <v>32</v>
      </c>
      <c r="N8" s="10">
        <v>0</v>
      </c>
      <c r="O8" s="10">
        <f>QG!$E10</f>
        <v>5</v>
      </c>
      <c r="P8" s="219"/>
      <c r="Q8" s="10" t="s">
        <v>32</v>
      </c>
      <c r="R8" s="10">
        <v>1</v>
      </c>
      <c r="S8" s="10">
        <f>QG!$E9</f>
        <v>54</v>
      </c>
      <c r="T8" s="219"/>
      <c r="U8" s="10" t="s">
        <v>32</v>
      </c>
      <c r="V8" s="10">
        <v>0</v>
      </c>
      <c r="W8" s="10">
        <f>QG!$E9</f>
        <v>54</v>
      </c>
      <c r="X8" s="219"/>
    </row>
    <row r="9" spans="1:24">
      <c r="A9" s="44" t="s">
        <v>119</v>
      </c>
      <c r="B9" s="45"/>
      <c r="C9" s="45"/>
      <c r="D9" s="46"/>
      <c r="E9" s="45"/>
      <c r="F9" s="45"/>
      <c r="G9" s="45"/>
      <c r="H9" s="46"/>
      <c r="I9" s="45"/>
      <c r="J9" s="45"/>
      <c r="K9" s="13"/>
      <c r="L9" s="46"/>
      <c r="M9" s="13"/>
      <c r="N9" s="13"/>
      <c r="O9" s="13"/>
      <c r="P9" s="46"/>
      <c r="Q9" s="13"/>
      <c r="R9" s="13"/>
      <c r="S9" s="13"/>
      <c r="T9" s="46"/>
      <c r="U9" s="13"/>
      <c r="V9" s="13"/>
      <c r="W9" s="13"/>
      <c r="X9" s="46"/>
    </row>
    <row r="10" spans="1:24">
      <c r="A10" s="220" t="s">
        <v>118</v>
      </c>
      <c r="B10" s="221"/>
      <c r="C10" s="221"/>
      <c r="D10" s="221"/>
      <c r="E10" s="221"/>
      <c r="F10" s="221"/>
      <c r="G10" s="221"/>
      <c r="H10" s="221"/>
      <c r="I10" s="221"/>
      <c r="J10" s="221"/>
    </row>
    <row r="12" spans="1:24">
      <c r="A12" s="216" t="s">
        <v>125</v>
      </c>
      <c r="B12" s="216"/>
      <c r="C12" s="216"/>
      <c r="D12" s="216"/>
      <c r="F12" s="216" t="s">
        <v>128</v>
      </c>
      <c r="G12" s="216"/>
      <c r="H12" s="216"/>
      <c r="I12" s="216"/>
    </row>
    <row r="13" spans="1:24">
      <c r="A13" s="35" t="s">
        <v>72</v>
      </c>
      <c r="B13" s="35" t="s">
        <v>78</v>
      </c>
      <c r="C13" s="35" t="s">
        <v>73</v>
      </c>
      <c r="D13" s="35" t="s">
        <v>74</v>
      </c>
      <c r="F13" s="35" t="s">
        <v>72</v>
      </c>
      <c r="G13" s="35" t="s">
        <v>78</v>
      </c>
      <c r="H13" s="35" t="s">
        <v>73</v>
      </c>
      <c r="I13" s="35" t="s">
        <v>74</v>
      </c>
    </row>
    <row r="14" spans="1:24">
      <c r="A14" s="10" t="s">
        <v>71</v>
      </c>
      <c r="B14" s="10">
        <v>4</v>
      </c>
      <c r="C14" s="10" t="e">
        <f>#REF!</f>
        <v>#REF!</v>
      </c>
      <c r="D14" s="217" t="e">
        <f>((B14*C14+B15*C15+B16*C16+B17*C17+B18*C18)-30*2-3*50)/440</f>
        <v>#REF!</v>
      </c>
      <c r="F14" s="10" t="s">
        <v>71</v>
      </c>
      <c r="G14" s="10">
        <v>2</v>
      </c>
      <c r="H14" s="10" t="e">
        <f>#REF!</f>
        <v>#REF!</v>
      </c>
      <c r="I14" s="217" t="e">
        <f>((G14*H14+G15*H15+G16*H16+G17*H17+G18*H18)-30*2-3*50)/440</f>
        <v>#REF!</v>
      </c>
    </row>
    <row r="15" spans="1:24">
      <c r="A15" s="10" t="s">
        <v>17</v>
      </c>
      <c r="B15" s="10">
        <v>4</v>
      </c>
      <c r="C15" s="10" t="e">
        <f>#REF!</f>
        <v>#REF!</v>
      </c>
      <c r="D15" s="218"/>
      <c r="F15" s="10" t="s">
        <v>17</v>
      </c>
      <c r="G15" s="10">
        <v>2</v>
      </c>
      <c r="H15" s="10" t="e">
        <f>#REF!</f>
        <v>#REF!</v>
      </c>
      <c r="I15" s="218"/>
    </row>
    <row r="16" spans="1:24">
      <c r="A16" s="10" t="s">
        <v>19</v>
      </c>
      <c r="B16" s="10">
        <v>4</v>
      </c>
      <c r="C16" s="10" t="e">
        <f>#REF!</f>
        <v>#REF!</v>
      </c>
      <c r="D16" s="218"/>
      <c r="F16" s="10" t="s">
        <v>19</v>
      </c>
      <c r="G16" s="10">
        <v>2</v>
      </c>
      <c r="H16" s="10" t="e">
        <f>#REF!</f>
        <v>#REF!</v>
      </c>
      <c r="I16" s="218"/>
    </row>
    <row r="17" spans="1:9">
      <c r="A17" s="10" t="s">
        <v>75</v>
      </c>
      <c r="B17" s="10">
        <v>4</v>
      </c>
      <c r="C17" s="10" t="e">
        <f>#REF!</f>
        <v>#REF!</v>
      </c>
      <c r="D17" s="218"/>
      <c r="F17" s="10" t="s">
        <v>75</v>
      </c>
      <c r="G17" s="10">
        <v>2</v>
      </c>
      <c r="H17" s="10" t="e">
        <f>#REF!</f>
        <v>#REF!</v>
      </c>
      <c r="I17" s="218"/>
    </row>
    <row r="18" spans="1:9">
      <c r="A18" s="10" t="s">
        <v>76</v>
      </c>
      <c r="B18" s="10">
        <v>1</v>
      </c>
      <c r="C18" s="10" t="e">
        <f>#REF!</f>
        <v>#REF!</v>
      </c>
      <c r="D18" s="218"/>
      <c r="F18" s="10" t="s">
        <v>76</v>
      </c>
      <c r="G18" s="10">
        <v>1</v>
      </c>
      <c r="H18" s="10" t="e">
        <f>#REF!</f>
        <v>#REF!</v>
      </c>
      <c r="I18" s="218"/>
    </row>
    <row r="19" spans="1:9">
      <c r="A19" s="10" t="s">
        <v>77</v>
      </c>
      <c r="B19" s="10">
        <v>1</v>
      </c>
      <c r="C19" s="10" t="e">
        <f>#REF!</f>
        <v>#REF!</v>
      </c>
      <c r="D19" s="219"/>
      <c r="F19" s="10" t="s">
        <v>77</v>
      </c>
      <c r="G19" s="10">
        <v>1</v>
      </c>
      <c r="H19" s="10" t="e">
        <f>#REF!</f>
        <v>#REF!</v>
      </c>
      <c r="I19" s="219"/>
    </row>
    <row r="21" spans="1:9">
      <c r="A21" s="216" t="s">
        <v>126</v>
      </c>
      <c r="B21" s="216"/>
      <c r="C21" s="216"/>
      <c r="D21" s="216"/>
      <c r="F21" s="216" t="s">
        <v>127</v>
      </c>
      <c r="G21" s="216"/>
      <c r="H21" s="216"/>
      <c r="I21" s="216"/>
    </row>
    <row r="22" spans="1:9">
      <c r="A22" s="35" t="s">
        <v>72</v>
      </c>
      <c r="B22" s="35" t="s">
        <v>78</v>
      </c>
      <c r="C22" s="35" t="s">
        <v>73</v>
      </c>
      <c r="D22" s="35" t="s">
        <v>74</v>
      </c>
      <c r="F22" s="35" t="s">
        <v>72</v>
      </c>
      <c r="G22" s="35" t="s">
        <v>78</v>
      </c>
      <c r="H22" s="35" t="s">
        <v>73</v>
      </c>
      <c r="I22" s="35" t="s">
        <v>74</v>
      </c>
    </row>
    <row r="23" spans="1:9">
      <c r="A23" s="10" t="s">
        <v>71</v>
      </c>
      <c r="B23" s="10">
        <v>2</v>
      </c>
      <c r="C23" s="10" t="e">
        <f>#REF!</f>
        <v>#REF!</v>
      </c>
      <c r="D23" s="217" t="e">
        <f>((B23*C23+B24*C24+B25*C25+B26*C26+B27*C27)-30*2-3*50)/440</f>
        <v>#REF!</v>
      </c>
      <c r="F23" s="10" t="s">
        <v>71</v>
      </c>
      <c r="G23" s="10">
        <v>2</v>
      </c>
      <c r="H23" s="10" t="e">
        <f>#REF!</f>
        <v>#REF!</v>
      </c>
      <c r="I23" s="217" t="e">
        <f>((G23*H23+G24*H24+G25*H25+G26*H26+G27*H27)-30*2-3*50)/440</f>
        <v>#REF!</v>
      </c>
    </row>
    <row r="24" spans="1:9">
      <c r="A24" s="10" t="s">
        <v>17</v>
      </c>
      <c r="B24" s="10">
        <v>2</v>
      </c>
      <c r="C24" s="10" t="e">
        <f>#REF!</f>
        <v>#REF!</v>
      </c>
      <c r="D24" s="218"/>
      <c r="F24" s="10" t="s">
        <v>17</v>
      </c>
      <c r="G24" s="10">
        <v>2</v>
      </c>
      <c r="H24" s="10" t="e">
        <f>#REF!</f>
        <v>#REF!</v>
      </c>
      <c r="I24" s="218"/>
    </row>
    <row r="25" spans="1:9">
      <c r="A25" s="10" t="s">
        <v>19</v>
      </c>
      <c r="B25" s="10">
        <v>2</v>
      </c>
      <c r="C25" s="10" t="e">
        <f>#REF!</f>
        <v>#REF!</v>
      </c>
      <c r="D25" s="218"/>
      <c r="F25" s="10" t="s">
        <v>19</v>
      </c>
      <c r="G25" s="10">
        <v>2</v>
      </c>
      <c r="H25" s="10" t="e">
        <f>#REF!</f>
        <v>#REF!</v>
      </c>
      <c r="I25" s="218"/>
    </row>
    <row r="26" spans="1:9">
      <c r="A26" s="10" t="s">
        <v>75</v>
      </c>
      <c r="B26" s="10">
        <v>2</v>
      </c>
      <c r="C26" s="10" t="e">
        <f>#REF!</f>
        <v>#REF!</v>
      </c>
      <c r="D26" s="218"/>
      <c r="F26" s="10" t="s">
        <v>75</v>
      </c>
      <c r="G26" s="10">
        <v>2</v>
      </c>
      <c r="H26" s="10" t="e">
        <f>#REF!</f>
        <v>#REF!</v>
      </c>
      <c r="I26" s="218"/>
    </row>
    <row r="27" spans="1:9">
      <c r="A27" s="10" t="s">
        <v>76</v>
      </c>
      <c r="B27" s="10">
        <v>1</v>
      </c>
      <c r="C27" s="10" t="e">
        <f>#REF!</f>
        <v>#REF!</v>
      </c>
      <c r="D27" s="218"/>
      <c r="F27" s="10"/>
      <c r="G27" s="10"/>
      <c r="H27" s="10"/>
      <c r="I27" s="218"/>
    </row>
    <row r="28" spans="1:9">
      <c r="A28" s="10"/>
      <c r="B28" s="10"/>
      <c r="C28" s="10"/>
      <c r="D28" s="219"/>
      <c r="F28" s="10" t="s">
        <v>77</v>
      </c>
      <c r="G28" s="10">
        <v>1</v>
      </c>
      <c r="H28" s="10" t="e">
        <f>#REF!</f>
        <v>#REF!</v>
      </c>
      <c r="I28" s="219"/>
    </row>
  </sheetData>
  <mergeCells count="21">
    <mergeCell ref="Q1:T1"/>
    <mergeCell ref="T3:T8"/>
    <mergeCell ref="U1:X1"/>
    <mergeCell ref="X3:X8"/>
    <mergeCell ref="A10:J10"/>
    <mergeCell ref="M1:P1"/>
    <mergeCell ref="L3:L8"/>
    <mergeCell ref="P3:P8"/>
    <mergeCell ref="A1:D1"/>
    <mergeCell ref="E1:H1"/>
    <mergeCell ref="D3:D8"/>
    <mergeCell ref="H3:H8"/>
    <mergeCell ref="I1:L1"/>
    <mergeCell ref="A12:D12"/>
    <mergeCell ref="D14:D19"/>
    <mergeCell ref="A21:D21"/>
    <mergeCell ref="D23:D28"/>
    <mergeCell ref="F21:I21"/>
    <mergeCell ref="I23:I28"/>
    <mergeCell ref="F12:I12"/>
    <mergeCell ref="I14:I19"/>
  </mergeCells>
  <phoneticPr fontId="1" type="noConversion"/>
  <pageMargins left="0.7" right="0.7" top="0.75" bottom="0.75" header="0.3" footer="0.3"/>
  <pageSetup paperSize="9" orientation="portrait" r:id="rId1"/>
  <headerFooter>
    <oddFooter>&amp;L&amp;1#&amp;"Calibri"&amp;10&amp;K737373Caterpillar: Confidential Green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3"/>
  <sheetViews>
    <sheetView view="pageBreakPreview" zoomScaleNormal="100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0" sqref="D10"/>
    </sheetView>
  </sheetViews>
  <sheetFormatPr defaultRowHeight="14.5"/>
  <cols>
    <col min="2" max="2" width="14.08984375" style="5" bestFit="1" customWidth="1"/>
    <col min="3" max="3" width="14.08984375" bestFit="1" customWidth="1"/>
    <col min="4" max="4" width="31.08984375" customWidth="1"/>
    <col min="5" max="6" width="8.90625" style="5" customWidth="1"/>
    <col min="7" max="7" width="13.6328125" style="7" customWidth="1"/>
    <col min="8" max="8" width="13.6328125" style="6" customWidth="1"/>
    <col min="9" max="9" width="0" hidden="1" customWidth="1"/>
  </cols>
  <sheetData>
    <row r="1" spans="1:10" ht="32.25" customHeight="1">
      <c r="A1" s="225" t="s">
        <v>110</v>
      </c>
      <c r="B1" s="225"/>
      <c r="C1" s="225"/>
      <c r="D1" s="225"/>
      <c r="E1" s="225"/>
      <c r="F1" s="225"/>
      <c r="G1" s="225"/>
      <c r="H1" s="225"/>
      <c r="I1" s="225"/>
      <c r="J1" s="225"/>
    </row>
    <row r="2" spans="1:10" s="4" customFormat="1" ht="29">
      <c r="A2" s="30" t="s">
        <v>106</v>
      </c>
      <c r="B2" s="28" t="s">
        <v>39</v>
      </c>
      <c r="C2" s="28" t="s">
        <v>40</v>
      </c>
      <c r="D2" s="28" t="s">
        <v>108</v>
      </c>
      <c r="E2" s="28" t="s">
        <v>2</v>
      </c>
      <c r="F2" s="28" t="s">
        <v>43</v>
      </c>
      <c r="G2" s="29" t="s">
        <v>21</v>
      </c>
      <c r="H2" s="29" t="s">
        <v>22</v>
      </c>
      <c r="I2" s="30" t="s">
        <v>24</v>
      </c>
      <c r="J2" s="30" t="s">
        <v>105</v>
      </c>
    </row>
    <row r="3" spans="1:10" s="4" customFormat="1">
      <c r="A3" s="222" t="s">
        <v>107</v>
      </c>
      <c r="B3" s="31" t="s">
        <v>42</v>
      </c>
      <c r="C3" s="33"/>
      <c r="D3" s="31"/>
      <c r="E3" s="31">
        <f>SUM(E4:E9)</f>
        <v>379.5</v>
      </c>
      <c r="F3" s="31"/>
      <c r="G3" s="32"/>
      <c r="H3" s="32"/>
      <c r="I3" s="33"/>
      <c r="J3" s="34">
        <f>E3/60</f>
        <v>6.3250000000000002</v>
      </c>
    </row>
    <row r="4" spans="1:10" s="4" customFormat="1">
      <c r="A4" s="223"/>
      <c r="B4" s="31" t="s">
        <v>71</v>
      </c>
      <c r="C4" s="33"/>
      <c r="D4" s="31"/>
      <c r="E4" s="31">
        <f>SUM(G10:G11,G13:G14,G16:G20,G22:G23,G25:G26,G28:G29)</f>
        <v>113</v>
      </c>
      <c r="F4" s="31"/>
      <c r="G4" s="32"/>
      <c r="H4" s="32"/>
      <c r="I4" s="33"/>
      <c r="J4" s="34">
        <f t="shared" ref="J4:J9" si="0">E4/60</f>
        <v>1.8833333333333333</v>
      </c>
    </row>
    <row r="5" spans="1:10" s="4" customFormat="1">
      <c r="A5" s="223"/>
      <c r="B5" s="31" t="s">
        <v>109</v>
      </c>
      <c r="C5" s="33"/>
      <c r="D5" s="31"/>
      <c r="E5" s="31">
        <f>SUM(G12,G15,G21,G24,G27,G30)</f>
        <v>40.5</v>
      </c>
      <c r="F5" s="31"/>
      <c r="G5" s="32"/>
      <c r="H5" s="32"/>
      <c r="I5" s="33"/>
      <c r="J5" s="34">
        <f t="shared" si="0"/>
        <v>0.67500000000000004</v>
      </c>
    </row>
    <row r="6" spans="1:10" s="4" customFormat="1">
      <c r="A6" s="223"/>
      <c r="B6" s="31" t="s">
        <v>19</v>
      </c>
      <c r="C6" s="33"/>
      <c r="D6" s="31"/>
      <c r="E6" s="31">
        <f>G31</f>
        <v>10</v>
      </c>
      <c r="F6" s="31"/>
      <c r="G6" s="32"/>
      <c r="H6" s="32"/>
      <c r="I6" s="33"/>
      <c r="J6" s="34">
        <f t="shared" si="0"/>
        <v>0.16666666666666666</v>
      </c>
    </row>
    <row r="7" spans="1:10" s="4" customFormat="1">
      <c r="A7" s="223"/>
      <c r="B7" s="31" t="s">
        <v>20</v>
      </c>
      <c r="C7" s="33"/>
      <c r="D7" s="31"/>
      <c r="E7" s="31">
        <f>SUM(G32:G34)</f>
        <v>80</v>
      </c>
      <c r="F7" s="31"/>
      <c r="G7" s="32"/>
      <c r="H7" s="32"/>
      <c r="I7" s="33"/>
      <c r="J7" s="34">
        <f t="shared" si="0"/>
        <v>1.3333333333333333</v>
      </c>
    </row>
    <row r="8" spans="1:10" s="4" customFormat="1">
      <c r="A8" s="223"/>
      <c r="B8" s="31" t="s">
        <v>27</v>
      </c>
      <c r="C8" s="33"/>
      <c r="D8" s="31"/>
      <c r="E8" s="31">
        <f>SUM(G35:G41)</f>
        <v>82</v>
      </c>
      <c r="F8" s="31"/>
      <c r="G8" s="32"/>
      <c r="H8" s="32"/>
      <c r="I8" s="33"/>
      <c r="J8" s="34">
        <f t="shared" si="0"/>
        <v>1.3666666666666667</v>
      </c>
    </row>
    <row r="9" spans="1:10" s="4" customFormat="1">
      <c r="A9" s="224"/>
      <c r="B9" s="31" t="s">
        <v>32</v>
      </c>
      <c r="C9" s="33"/>
      <c r="D9" s="31"/>
      <c r="E9" s="31">
        <f>SUM(G42:G43)</f>
        <v>54</v>
      </c>
      <c r="F9" s="31"/>
      <c r="G9" s="32"/>
      <c r="H9" s="32"/>
      <c r="I9" s="33"/>
      <c r="J9" s="34">
        <f t="shared" si="0"/>
        <v>0.9</v>
      </c>
    </row>
    <row r="10" spans="1:10">
      <c r="A10" s="226" t="s">
        <v>44</v>
      </c>
      <c r="B10" s="227" t="s">
        <v>38</v>
      </c>
      <c r="C10" s="38" t="s">
        <v>3</v>
      </c>
      <c r="D10" s="38" t="s">
        <v>129</v>
      </c>
      <c r="E10" s="39">
        <v>5</v>
      </c>
      <c r="F10" s="40">
        <v>1</v>
      </c>
      <c r="G10" s="41">
        <f>F10*E10</f>
        <v>5</v>
      </c>
      <c r="H10" s="41">
        <f t="shared" ref="H10:H12" si="1">E10*1</f>
        <v>5</v>
      </c>
      <c r="I10" s="27"/>
    </row>
    <row r="11" spans="1:10">
      <c r="A11" s="226"/>
      <c r="B11" s="228"/>
      <c r="C11" s="42" t="s">
        <v>4</v>
      </c>
      <c r="D11" s="42" t="s">
        <v>9</v>
      </c>
      <c r="E11" s="39">
        <v>5</v>
      </c>
      <c r="F11" s="39">
        <v>1</v>
      </c>
      <c r="G11" s="43">
        <f t="shared" ref="G11:G43" si="2">F11*E11</f>
        <v>5</v>
      </c>
      <c r="H11" s="43">
        <f t="shared" si="1"/>
        <v>5</v>
      </c>
      <c r="I11" s="1"/>
    </row>
    <row r="12" spans="1:10">
      <c r="A12" s="226"/>
      <c r="B12" s="228"/>
      <c r="C12" s="42" t="s">
        <v>5</v>
      </c>
      <c r="D12" s="42" t="s">
        <v>10</v>
      </c>
      <c r="E12" s="39">
        <v>5</v>
      </c>
      <c r="F12" s="39">
        <v>1</v>
      </c>
      <c r="G12" s="43">
        <f t="shared" si="2"/>
        <v>5</v>
      </c>
      <c r="H12" s="43">
        <f t="shared" si="1"/>
        <v>5</v>
      </c>
      <c r="I12" s="1"/>
    </row>
    <row r="13" spans="1:10">
      <c r="A13" s="226" t="s">
        <v>45</v>
      </c>
      <c r="B13" s="228"/>
      <c r="C13" s="42" t="s">
        <v>3</v>
      </c>
      <c r="D13" s="42" t="s">
        <v>11</v>
      </c>
      <c r="E13" s="39">
        <v>5</v>
      </c>
      <c r="F13" s="39">
        <v>1</v>
      </c>
      <c r="G13" s="43">
        <f t="shared" si="2"/>
        <v>5</v>
      </c>
      <c r="H13" s="43">
        <f>E13*2</f>
        <v>10</v>
      </c>
      <c r="I13" s="1"/>
    </row>
    <row r="14" spans="1:10">
      <c r="A14" s="226"/>
      <c r="B14" s="228"/>
      <c r="C14" s="42" t="s">
        <v>4</v>
      </c>
      <c r="D14" s="42" t="s">
        <v>12</v>
      </c>
      <c r="E14" s="39">
        <v>5</v>
      </c>
      <c r="F14" s="39">
        <v>1</v>
      </c>
      <c r="G14" s="43">
        <f t="shared" si="2"/>
        <v>5</v>
      </c>
      <c r="H14" s="43">
        <f t="shared" ref="H14" si="3">E14*2</f>
        <v>10</v>
      </c>
      <c r="I14" s="1"/>
    </row>
    <row r="15" spans="1:10">
      <c r="A15" s="226"/>
      <c r="B15" s="228"/>
      <c r="C15" s="42" t="s">
        <v>5</v>
      </c>
      <c r="D15" s="42" t="s">
        <v>13</v>
      </c>
      <c r="E15" s="39">
        <v>5</v>
      </c>
      <c r="F15" s="39">
        <v>1</v>
      </c>
      <c r="G15" s="43">
        <f t="shared" si="2"/>
        <v>5</v>
      </c>
      <c r="H15" s="43">
        <f>E15*1</f>
        <v>5</v>
      </c>
      <c r="I15" s="1"/>
    </row>
    <row r="16" spans="1:10">
      <c r="A16" s="226" t="s">
        <v>46</v>
      </c>
      <c r="B16" s="228"/>
      <c r="C16" s="15" t="s">
        <v>3</v>
      </c>
      <c r="D16" s="15" t="s">
        <v>6</v>
      </c>
      <c r="E16" s="16">
        <v>2</v>
      </c>
      <c r="F16" s="16">
        <v>2</v>
      </c>
      <c r="G16" s="17">
        <f t="shared" si="2"/>
        <v>4</v>
      </c>
      <c r="H16" s="17">
        <f>E16*2</f>
        <v>4</v>
      </c>
      <c r="I16" s="1"/>
    </row>
    <row r="17" spans="1:9">
      <c r="A17" s="226"/>
      <c r="B17" s="228"/>
      <c r="C17" s="15" t="s">
        <v>3</v>
      </c>
      <c r="D17" s="15" t="s">
        <v>123</v>
      </c>
      <c r="E17" s="16"/>
      <c r="F17" s="16"/>
      <c r="G17" s="17"/>
      <c r="H17" s="17"/>
      <c r="I17" s="1"/>
    </row>
    <row r="18" spans="1:9">
      <c r="A18" s="226"/>
      <c r="B18" s="228"/>
      <c r="C18" s="15" t="s">
        <v>4</v>
      </c>
      <c r="D18" s="15" t="s">
        <v>7</v>
      </c>
      <c r="E18" s="16">
        <v>12</v>
      </c>
      <c r="F18" s="16">
        <v>2</v>
      </c>
      <c r="G18" s="17">
        <f t="shared" si="2"/>
        <v>24</v>
      </c>
      <c r="H18" s="17">
        <f t="shared" ref="H18:H20" si="4">E18*2</f>
        <v>24</v>
      </c>
      <c r="I18" s="1"/>
    </row>
    <row r="19" spans="1:9">
      <c r="A19" s="226"/>
      <c r="B19" s="228"/>
      <c r="C19" s="15" t="s">
        <v>3</v>
      </c>
      <c r="D19" s="15" t="s">
        <v>25</v>
      </c>
      <c r="E19" s="16">
        <v>3</v>
      </c>
      <c r="F19" s="16">
        <v>2</v>
      </c>
      <c r="G19" s="17">
        <f t="shared" si="2"/>
        <v>6</v>
      </c>
      <c r="H19" s="17">
        <f>E19*6</f>
        <v>18</v>
      </c>
      <c r="I19" s="1"/>
    </row>
    <row r="20" spans="1:9">
      <c r="A20" s="226"/>
      <c r="B20" s="228"/>
      <c r="C20" s="15" t="s">
        <v>4</v>
      </c>
      <c r="D20" s="15" t="s">
        <v>26</v>
      </c>
      <c r="E20" s="16">
        <v>3</v>
      </c>
      <c r="F20" s="16">
        <v>2</v>
      </c>
      <c r="G20" s="17">
        <f t="shared" si="2"/>
        <v>6</v>
      </c>
      <c r="H20" s="17">
        <f t="shared" si="4"/>
        <v>6</v>
      </c>
      <c r="I20" s="1"/>
    </row>
    <row r="21" spans="1:9">
      <c r="A21" s="226"/>
      <c r="B21" s="228"/>
      <c r="C21" s="15" t="s">
        <v>5</v>
      </c>
      <c r="D21" s="15" t="s">
        <v>23</v>
      </c>
      <c r="E21" s="16">
        <v>2</v>
      </c>
      <c r="F21" s="16">
        <v>2</v>
      </c>
      <c r="G21" s="17">
        <f t="shared" si="2"/>
        <v>4</v>
      </c>
      <c r="H21" s="17">
        <f>E21*3</f>
        <v>6</v>
      </c>
      <c r="I21" s="1"/>
    </row>
    <row r="22" spans="1:9">
      <c r="A22" s="226"/>
      <c r="B22" s="228"/>
      <c r="C22" s="15" t="s">
        <v>3</v>
      </c>
      <c r="D22" s="15" t="s">
        <v>8</v>
      </c>
      <c r="E22" s="16">
        <v>1.5</v>
      </c>
      <c r="F22" s="16">
        <v>3</v>
      </c>
      <c r="G22" s="17">
        <f t="shared" si="2"/>
        <v>4.5</v>
      </c>
      <c r="H22" s="17">
        <f>E22*3</f>
        <v>4.5</v>
      </c>
      <c r="I22" s="1"/>
    </row>
    <row r="23" spans="1:9">
      <c r="A23" s="226"/>
      <c r="B23" s="228"/>
      <c r="C23" s="15" t="s">
        <v>4</v>
      </c>
      <c r="D23" s="15" t="s">
        <v>8</v>
      </c>
      <c r="E23" s="16">
        <v>1.5</v>
      </c>
      <c r="F23" s="16">
        <v>3</v>
      </c>
      <c r="G23" s="17">
        <f t="shared" si="2"/>
        <v>4.5</v>
      </c>
      <c r="H23" s="17">
        <f t="shared" ref="H23:H27" si="5">E23*3</f>
        <v>4.5</v>
      </c>
      <c r="I23" s="1"/>
    </row>
    <row r="24" spans="1:9">
      <c r="A24" s="226"/>
      <c r="B24" s="228"/>
      <c r="C24" s="15" t="s">
        <v>5</v>
      </c>
      <c r="D24" s="15" t="s">
        <v>8</v>
      </c>
      <c r="E24" s="16">
        <v>1.5</v>
      </c>
      <c r="F24" s="16">
        <v>3</v>
      </c>
      <c r="G24" s="17">
        <f t="shared" si="2"/>
        <v>4.5</v>
      </c>
      <c r="H24" s="17">
        <f t="shared" si="5"/>
        <v>4.5</v>
      </c>
      <c r="I24" s="1"/>
    </row>
    <row r="25" spans="1:9">
      <c r="A25" s="226"/>
      <c r="B25" s="228"/>
      <c r="C25" s="15" t="s">
        <v>3</v>
      </c>
      <c r="D25" s="15" t="s">
        <v>14</v>
      </c>
      <c r="E25" s="16">
        <v>4</v>
      </c>
      <c r="F25" s="16">
        <v>3</v>
      </c>
      <c r="G25" s="17">
        <f t="shared" si="2"/>
        <v>12</v>
      </c>
      <c r="H25" s="17">
        <f t="shared" si="5"/>
        <v>12</v>
      </c>
      <c r="I25" s="1"/>
    </row>
    <row r="26" spans="1:9">
      <c r="A26" s="226"/>
      <c r="B26" s="228"/>
      <c r="C26" s="15" t="s">
        <v>4</v>
      </c>
      <c r="D26" s="15" t="s">
        <v>14</v>
      </c>
      <c r="E26" s="16">
        <v>4</v>
      </c>
      <c r="F26" s="16">
        <v>3</v>
      </c>
      <c r="G26" s="17">
        <f t="shared" si="2"/>
        <v>12</v>
      </c>
      <c r="H26" s="17">
        <f t="shared" si="5"/>
        <v>12</v>
      </c>
      <c r="I26" s="1"/>
    </row>
    <row r="27" spans="1:9">
      <c r="A27" s="226"/>
      <c r="B27" s="228"/>
      <c r="C27" s="15" t="s">
        <v>5</v>
      </c>
      <c r="D27" s="15" t="s">
        <v>14</v>
      </c>
      <c r="E27" s="16">
        <v>4</v>
      </c>
      <c r="F27" s="16">
        <v>3</v>
      </c>
      <c r="G27" s="17">
        <f t="shared" si="2"/>
        <v>12</v>
      </c>
      <c r="H27" s="17">
        <f t="shared" si="5"/>
        <v>12</v>
      </c>
      <c r="I27" s="1"/>
    </row>
    <row r="28" spans="1:9">
      <c r="A28" s="226" t="s">
        <v>47</v>
      </c>
      <c r="B28" s="228"/>
      <c r="C28" s="15" t="s">
        <v>15</v>
      </c>
      <c r="D28" s="15" t="s">
        <v>18</v>
      </c>
      <c r="E28" s="16">
        <v>10</v>
      </c>
      <c r="F28" s="16">
        <v>1</v>
      </c>
      <c r="G28" s="17">
        <f t="shared" si="2"/>
        <v>10</v>
      </c>
      <c r="H28" s="17">
        <f>E28*1</f>
        <v>10</v>
      </c>
      <c r="I28" s="1"/>
    </row>
    <row r="29" spans="1:9">
      <c r="A29" s="226"/>
      <c r="B29" s="228"/>
      <c r="C29" s="15" t="s">
        <v>16</v>
      </c>
      <c r="D29" s="15" t="s">
        <v>18</v>
      </c>
      <c r="E29" s="16">
        <v>10</v>
      </c>
      <c r="F29" s="16">
        <v>1</v>
      </c>
      <c r="G29" s="17">
        <f t="shared" si="2"/>
        <v>10</v>
      </c>
      <c r="H29" s="17">
        <f>E29*1</f>
        <v>10</v>
      </c>
      <c r="I29" s="1"/>
    </row>
    <row r="30" spans="1:9">
      <c r="A30" s="226"/>
      <c r="B30" s="228"/>
      <c r="C30" s="15" t="s">
        <v>17</v>
      </c>
      <c r="D30" s="15" t="s">
        <v>18</v>
      </c>
      <c r="E30" s="16">
        <v>10</v>
      </c>
      <c r="F30" s="16">
        <v>1</v>
      </c>
      <c r="G30" s="17">
        <f t="shared" si="2"/>
        <v>10</v>
      </c>
      <c r="H30" s="17">
        <f>E30*1</f>
        <v>10</v>
      </c>
      <c r="I30" s="1"/>
    </row>
    <row r="31" spans="1:9">
      <c r="A31" s="226"/>
      <c r="B31" s="11" t="s">
        <v>19</v>
      </c>
      <c r="C31" s="10" t="s">
        <v>19</v>
      </c>
      <c r="D31" s="10" t="s">
        <v>18</v>
      </c>
      <c r="E31" s="11">
        <v>10</v>
      </c>
      <c r="F31" s="11">
        <v>1</v>
      </c>
      <c r="G31" s="12">
        <f t="shared" si="2"/>
        <v>10</v>
      </c>
      <c r="H31" s="12">
        <f>E31*1</f>
        <v>10</v>
      </c>
      <c r="I31" s="1"/>
    </row>
    <row r="32" spans="1:9">
      <c r="A32" s="226"/>
      <c r="B32" s="226" t="s">
        <v>41</v>
      </c>
      <c r="C32" s="10" t="s">
        <v>20</v>
      </c>
      <c r="D32" s="10" t="s">
        <v>18</v>
      </c>
      <c r="E32" s="11">
        <v>10</v>
      </c>
      <c r="F32" s="11">
        <v>1</v>
      </c>
      <c r="G32" s="12">
        <f t="shared" si="2"/>
        <v>10</v>
      </c>
      <c r="H32" s="12">
        <f>E32*1</f>
        <v>10</v>
      </c>
      <c r="I32" s="1"/>
    </row>
    <row r="33" spans="1:9">
      <c r="A33" s="226"/>
      <c r="B33" s="226"/>
      <c r="C33" s="10" t="s">
        <v>20</v>
      </c>
      <c r="D33" s="10" t="s">
        <v>35</v>
      </c>
      <c r="E33" s="11">
        <v>2</v>
      </c>
      <c r="F33" s="11">
        <v>10</v>
      </c>
      <c r="G33" s="12">
        <f t="shared" si="2"/>
        <v>20</v>
      </c>
      <c r="H33" s="12">
        <f>E33*10</f>
        <v>20</v>
      </c>
      <c r="I33" s="1"/>
    </row>
    <row r="34" spans="1:9">
      <c r="A34" s="226"/>
      <c r="B34" s="226"/>
      <c r="C34" s="10" t="s">
        <v>20</v>
      </c>
      <c r="D34" s="10" t="s">
        <v>36</v>
      </c>
      <c r="E34" s="11">
        <v>5</v>
      </c>
      <c r="F34" s="11">
        <v>10</v>
      </c>
      <c r="G34" s="12">
        <f t="shared" si="2"/>
        <v>50</v>
      </c>
      <c r="H34" s="12">
        <f>E34*10</f>
        <v>50</v>
      </c>
      <c r="I34" s="1"/>
    </row>
    <row r="35" spans="1:9">
      <c r="A35" s="226" t="s">
        <v>46</v>
      </c>
      <c r="B35" s="226" t="s">
        <v>27</v>
      </c>
      <c r="C35" s="1" t="s">
        <v>27</v>
      </c>
      <c r="D35" s="10" t="s">
        <v>31</v>
      </c>
      <c r="E35" s="11">
        <v>5</v>
      </c>
      <c r="F35" s="11">
        <v>2</v>
      </c>
      <c r="G35" s="12">
        <f t="shared" si="2"/>
        <v>10</v>
      </c>
      <c r="H35" s="14"/>
      <c r="I35" s="1"/>
    </row>
    <row r="36" spans="1:9">
      <c r="A36" s="226"/>
      <c r="B36" s="226"/>
      <c r="C36" s="1" t="s">
        <v>27</v>
      </c>
      <c r="D36" s="10" t="s">
        <v>28</v>
      </c>
      <c r="E36" s="11">
        <v>1</v>
      </c>
      <c r="F36" s="11">
        <v>2</v>
      </c>
      <c r="G36" s="12">
        <f t="shared" si="2"/>
        <v>2</v>
      </c>
      <c r="H36" s="14"/>
      <c r="I36" s="1"/>
    </row>
    <row r="37" spans="1:9">
      <c r="A37" s="226"/>
      <c r="B37" s="226"/>
      <c r="C37" s="1" t="s">
        <v>27</v>
      </c>
      <c r="D37" s="10" t="s">
        <v>29</v>
      </c>
      <c r="E37" s="11">
        <v>2.5</v>
      </c>
      <c r="F37" s="11">
        <v>2</v>
      </c>
      <c r="G37" s="12">
        <f t="shared" si="2"/>
        <v>5</v>
      </c>
      <c r="H37" s="14"/>
      <c r="I37" s="1"/>
    </row>
    <row r="38" spans="1:9">
      <c r="A38" s="226"/>
      <c r="B38" s="226"/>
      <c r="C38" s="1" t="s">
        <v>27</v>
      </c>
      <c r="D38" s="10" t="s">
        <v>30</v>
      </c>
      <c r="E38" s="11">
        <v>2.5</v>
      </c>
      <c r="F38" s="11">
        <v>2</v>
      </c>
      <c r="G38" s="12">
        <f t="shared" ref="G38" si="6">F38*E38</f>
        <v>5</v>
      </c>
      <c r="H38" s="14"/>
      <c r="I38" s="1"/>
    </row>
    <row r="39" spans="1:9">
      <c r="A39" s="226"/>
      <c r="B39" s="226"/>
      <c r="C39" s="1" t="s">
        <v>27</v>
      </c>
      <c r="D39" s="10" t="s">
        <v>124</v>
      </c>
      <c r="E39" s="11">
        <v>10</v>
      </c>
      <c r="F39" s="11">
        <v>2</v>
      </c>
      <c r="G39" s="12">
        <f t="shared" si="2"/>
        <v>20</v>
      </c>
      <c r="H39" s="14"/>
      <c r="I39" s="1"/>
    </row>
    <row r="40" spans="1:9">
      <c r="A40" s="226" t="s">
        <v>47</v>
      </c>
      <c r="B40" s="226"/>
      <c r="C40" s="1" t="s">
        <v>27</v>
      </c>
      <c r="D40" s="10" t="s">
        <v>18</v>
      </c>
      <c r="E40" s="11">
        <v>10</v>
      </c>
      <c r="F40" s="11">
        <v>2</v>
      </c>
      <c r="G40" s="12">
        <f t="shared" si="2"/>
        <v>20</v>
      </c>
      <c r="H40" s="14"/>
      <c r="I40" s="1"/>
    </row>
    <row r="41" spans="1:9">
      <c r="A41" s="226"/>
      <c r="B41" s="226"/>
      <c r="C41" s="1" t="s">
        <v>27</v>
      </c>
      <c r="D41" s="10" t="s">
        <v>33</v>
      </c>
      <c r="E41" s="11">
        <v>10</v>
      </c>
      <c r="F41" s="11">
        <v>2</v>
      </c>
      <c r="G41" s="12">
        <f t="shared" si="2"/>
        <v>20</v>
      </c>
      <c r="H41" s="14"/>
      <c r="I41" s="1"/>
    </row>
    <row r="42" spans="1:9">
      <c r="A42" s="226" t="s">
        <v>47</v>
      </c>
      <c r="B42" s="226" t="s">
        <v>32</v>
      </c>
      <c r="C42" s="1" t="s">
        <v>32</v>
      </c>
      <c r="D42" s="10" t="s">
        <v>34</v>
      </c>
      <c r="E42" s="11">
        <v>7</v>
      </c>
      <c r="F42" s="11">
        <v>2</v>
      </c>
      <c r="G42" s="12">
        <f t="shared" si="2"/>
        <v>14</v>
      </c>
      <c r="H42" s="14"/>
      <c r="I42" s="1"/>
    </row>
    <row r="43" spans="1:9">
      <c r="A43" s="226"/>
      <c r="B43" s="226"/>
      <c r="C43" s="1" t="s">
        <v>32</v>
      </c>
      <c r="D43" s="10" t="s">
        <v>33</v>
      </c>
      <c r="E43" s="11">
        <v>20</v>
      </c>
      <c r="F43" s="11">
        <v>2</v>
      </c>
      <c r="G43" s="12">
        <f t="shared" si="2"/>
        <v>40</v>
      </c>
      <c r="H43" s="14"/>
      <c r="I43" s="1"/>
    </row>
  </sheetData>
  <mergeCells count="13">
    <mergeCell ref="A3:A9"/>
    <mergeCell ref="A1:J1"/>
    <mergeCell ref="A40:A41"/>
    <mergeCell ref="A42:A43"/>
    <mergeCell ref="A28:A34"/>
    <mergeCell ref="B10:B30"/>
    <mergeCell ref="B32:B34"/>
    <mergeCell ref="B35:B41"/>
    <mergeCell ref="B42:B43"/>
    <mergeCell ref="A10:A12"/>
    <mergeCell ref="A13:A15"/>
    <mergeCell ref="A16:A27"/>
    <mergeCell ref="A35:A39"/>
  </mergeCells>
  <phoneticPr fontId="1" type="noConversion"/>
  <pageMargins left="0.7" right="0.7" top="0.75" bottom="0.75" header="0.3" footer="0.3"/>
  <pageSetup paperSize="9" scale="67" orientation="portrait" r:id="rId1"/>
  <headerFooter>
    <oddFooter>&amp;L&amp;1#&amp;"Calibri"&amp;10&amp;K737373Caterpillar: Confidential Green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23D1-A2D9-4FA4-AF2B-4C4B48C84EC4}">
  <sheetPr>
    <pageSetUpPr fitToPage="1"/>
  </sheetPr>
  <dimension ref="A1:M56"/>
  <sheetViews>
    <sheetView zoomScale="160" zoomScaleNormal="160" zoomScaleSheetLayoutView="100" workbookViewId="0">
      <pane ySplit="1" topLeftCell="A2" activePane="bottomLeft" state="frozen"/>
      <selection pane="bottomLeft" activeCell="B1" sqref="B1"/>
    </sheetView>
  </sheetViews>
  <sheetFormatPr defaultColWidth="9.90625" defaultRowHeight="14"/>
  <cols>
    <col min="1" max="1" width="7.36328125" style="51" bestFit="1" customWidth="1"/>
    <col min="2" max="2" width="16.81640625" style="50" customWidth="1"/>
    <col min="3" max="3" width="29.36328125" style="62" customWidth="1"/>
    <col min="4" max="4" width="8.26953125" style="51" bestFit="1" customWidth="1"/>
    <col min="5" max="5" width="6.26953125" style="51" bestFit="1" customWidth="1"/>
    <col min="6" max="6" width="7.7265625" style="51" bestFit="1" customWidth="1"/>
    <col min="7" max="7" width="8.6328125" style="168" bestFit="1" customWidth="1"/>
    <col min="8" max="8" width="30.81640625" style="62" customWidth="1"/>
    <col min="9" max="9" width="9.26953125" style="50" bestFit="1" customWidth="1"/>
    <col min="10" max="10" width="4.26953125" style="50" bestFit="1" customWidth="1"/>
    <col min="11" max="11" width="4.90625" style="50" bestFit="1" customWidth="1"/>
    <col min="12" max="12" width="14.453125" style="50" bestFit="1" customWidth="1"/>
    <col min="13" max="16384" width="9.90625" style="50"/>
  </cols>
  <sheetData>
    <row r="1" spans="1:13">
      <c r="A1" s="198" t="s">
        <v>182</v>
      </c>
      <c r="B1" s="198" t="s">
        <v>183</v>
      </c>
      <c r="C1" s="202" t="s">
        <v>340</v>
      </c>
      <c r="D1" s="198" t="s">
        <v>143</v>
      </c>
      <c r="E1" s="198" t="s">
        <v>222</v>
      </c>
      <c r="F1" s="206" t="s">
        <v>185</v>
      </c>
      <c r="G1" s="207" t="s">
        <v>232</v>
      </c>
      <c r="H1" s="208" t="s">
        <v>316</v>
      </c>
    </row>
    <row r="2" spans="1:13" ht="14.15" customHeight="1">
      <c r="A2" s="234" t="s">
        <v>144</v>
      </c>
      <c r="B2" s="170" t="s">
        <v>3</v>
      </c>
      <c r="C2" s="180" t="s">
        <v>317</v>
      </c>
      <c r="D2" s="171" t="s">
        <v>139</v>
      </c>
      <c r="E2" s="172">
        <v>120</v>
      </c>
      <c r="F2" s="173">
        <v>6</v>
      </c>
      <c r="G2" s="162">
        <f>E2*F2</f>
        <v>720</v>
      </c>
      <c r="H2" s="59" t="s">
        <v>341</v>
      </c>
    </row>
    <row r="3" spans="1:13" ht="14.5">
      <c r="A3" s="234"/>
      <c r="B3" s="170" t="s">
        <v>4</v>
      </c>
      <c r="C3" s="180" t="s">
        <v>317</v>
      </c>
      <c r="D3" s="171" t="s">
        <v>139</v>
      </c>
      <c r="E3" s="172">
        <v>120</v>
      </c>
      <c r="F3" s="173">
        <v>6</v>
      </c>
      <c r="G3" s="162">
        <f t="shared" ref="G3:G50" si="0">E3*F3</f>
        <v>720</v>
      </c>
      <c r="H3" s="59" t="s">
        <v>341</v>
      </c>
    </row>
    <row r="4" spans="1:13" ht="16.5">
      <c r="A4" s="234"/>
      <c r="B4" s="170" t="s">
        <v>5</v>
      </c>
      <c r="C4" s="178" t="s">
        <v>333</v>
      </c>
      <c r="D4" s="171" t="s">
        <v>139</v>
      </c>
      <c r="E4" s="172">
        <v>480</v>
      </c>
      <c r="F4" s="173">
        <v>3</v>
      </c>
      <c r="G4" s="162">
        <f t="shared" si="0"/>
        <v>1440</v>
      </c>
      <c r="H4" s="59" t="s">
        <v>342</v>
      </c>
    </row>
    <row r="5" spans="1:13" ht="16.5">
      <c r="A5" s="234"/>
      <c r="B5" s="170" t="s">
        <v>5</v>
      </c>
      <c r="C5" s="178" t="s">
        <v>332</v>
      </c>
      <c r="D5" s="171" t="s">
        <v>139</v>
      </c>
      <c r="E5" s="172">
        <v>480</v>
      </c>
      <c r="F5" s="173">
        <v>5</v>
      </c>
      <c r="G5" s="162">
        <f t="shared" si="0"/>
        <v>2400</v>
      </c>
      <c r="H5" s="59" t="s">
        <v>343</v>
      </c>
    </row>
    <row r="6" spans="1:13" ht="14.5">
      <c r="A6" s="234"/>
      <c r="B6" s="170" t="s">
        <v>328</v>
      </c>
      <c r="C6" s="235" t="s">
        <v>173</v>
      </c>
      <c r="D6" s="185" t="s">
        <v>281</v>
      </c>
      <c r="E6" s="183">
        <v>60</v>
      </c>
      <c r="F6" s="173">
        <v>2</v>
      </c>
      <c r="G6" s="162">
        <f t="shared" si="0"/>
        <v>120</v>
      </c>
      <c r="H6" s="59" t="s">
        <v>344</v>
      </c>
    </row>
    <row r="7" spans="1:13" ht="14.5">
      <c r="A7" s="234"/>
      <c r="B7" s="170" t="s">
        <v>329</v>
      </c>
      <c r="C7" s="236"/>
      <c r="D7" s="171" t="s">
        <v>139</v>
      </c>
      <c r="E7" s="172">
        <v>60</v>
      </c>
      <c r="F7" s="173">
        <v>2</v>
      </c>
      <c r="G7" s="162">
        <f t="shared" si="0"/>
        <v>120</v>
      </c>
      <c r="H7" s="59" t="s">
        <v>344</v>
      </c>
    </row>
    <row r="8" spans="1:13" ht="14.5">
      <c r="A8" s="234"/>
      <c r="B8" s="170" t="s">
        <v>327</v>
      </c>
      <c r="C8" s="236"/>
      <c r="D8" s="171" t="s">
        <v>331</v>
      </c>
      <c r="E8" s="172">
        <v>120</v>
      </c>
      <c r="F8" s="173">
        <v>6</v>
      </c>
      <c r="G8" s="162">
        <f t="shared" si="0"/>
        <v>720</v>
      </c>
      <c r="H8" s="59" t="s">
        <v>368</v>
      </c>
    </row>
    <row r="9" spans="1:13" ht="14.5">
      <c r="A9" s="234"/>
      <c r="B9" s="170" t="s">
        <v>321</v>
      </c>
      <c r="C9" s="236"/>
      <c r="D9" s="171" t="s">
        <v>139</v>
      </c>
      <c r="E9" s="172">
        <v>60</v>
      </c>
      <c r="F9" s="173">
        <v>3</v>
      </c>
      <c r="G9" s="162">
        <f t="shared" si="0"/>
        <v>180</v>
      </c>
      <c r="H9" s="59" t="s">
        <v>346</v>
      </c>
    </row>
    <row r="10" spans="1:13" ht="14.5">
      <c r="A10" s="234"/>
      <c r="B10" s="170" t="s">
        <v>320</v>
      </c>
      <c r="C10" s="237"/>
      <c r="D10" s="175" t="s">
        <v>322</v>
      </c>
      <c r="E10" s="172">
        <v>120</v>
      </c>
      <c r="F10" s="173">
        <v>9</v>
      </c>
      <c r="G10" s="162">
        <f t="shared" si="0"/>
        <v>1080</v>
      </c>
      <c r="H10" s="59" t="s">
        <v>345</v>
      </c>
    </row>
    <row r="11" spans="1:13" ht="14.5">
      <c r="A11" s="234"/>
      <c r="B11" s="170" t="s">
        <v>3</v>
      </c>
      <c r="C11" s="238" t="s">
        <v>135</v>
      </c>
      <c r="D11" s="171" t="s">
        <v>139</v>
      </c>
      <c r="E11" s="172">
        <v>120</v>
      </c>
      <c r="F11" s="173">
        <v>5</v>
      </c>
      <c r="G11" s="162">
        <f t="shared" si="0"/>
        <v>600</v>
      </c>
      <c r="H11" s="59" t="s">
        <v>347</v>
      </c>
      <c r="I11" s="232"/>
      <c r="J11" s="232"/>
      <c r="K11" s="51"/>
      <c r="L11" s="232"/>
      <c r="M11" s="233"/>
    </row>
    <row r="12" spans="1:13" ht="14.5">
      <c r="A12" s="234"/>
      <c r="B12" s="170" t="s">
        <v>4</v>
      </c>
      <c r="C12" s="238"/>
      <c r="D12" s="171" t="s">
        <v>139</v>
      </c>
      <c r="E12" s="172">
        <v>180</v>
      </c>
      <c r="F12" s="173">
        <v>4</v>
      </c>
      <c r="G12" s="162">
        <f t="shared" si="0"/>
        <v>720</v>
      </c>
      <c r="H12" s="59" t="s">
        <v>348</v>
      </c>
      <c r="I12" s="197"/>
      <c r="J12" s="51"/>
      <c r="K12" s="51"/>
      <c r="L12" s="197"/>
      <c r="M12" s="51"/>
    </row>
    <row r="13" spans="1:13" ht="14.5">
      <c r="A13" s="234"/>
      <c r="B13" s="170" t="s">
        <v>243</v>
      </c>
      <c r="C13" s="238"/>
      <c r="D13" s="179" t="s">
        <v>255</v>
      </c>
      <c r="E13" s="172">
        <v>720</v>
      </c>
      <c r="F13" s="173">
        <v>1</v>
      </c>
      <c r="G13" s="162">
        <f t="shared" si="0"/>
        <v>720</v>
      </c>
      <c r="H13" s="59" t="s">
        <v>349</v>
      </c>
      <c r="I13" s="197"/>
      <c r="J13" s="51"/>
      <c r="K13" s="51"/>
      <c r="L13" s="51"/>
    </row>
    <row r="14" spans="1:13">
      <c r="A14" s="234"/>
      <c r="B14" s="170" t="s">
        <v>3</v>
      </c>
      <c r="C14" s="238" t="s">
        <v>174</v>
      </c>
      <c r="D14" s="175" t="s">
        <v>270</v>
      </c>
      <c r="E14" s="172">
        <v>100</v>
      </c>
      <c r="F14" s="173">
        <v>8</v>
      </c>
      <c r="G14" s="162">
        <f t="shared" si="0"/>
        <v>800</v>
      </c>
      <c r="H14" s="229" t="s">
        <v>357</v>
      </c>
      <c r="I14" s="51"/>
      <c r="J14" s="51"/>
      <c r="K14" s="51"/>
      <c r="L14" s="51"/>
    </row>
    <row r="15" spans="1:13" ht="13.75" customHeight="1">
      <c r="A15" s="234"/>
      <c r="B15" s="170" t="s">
        <v>4</v>
      </c>
      <c r="C15" s="238"/>
      <c r="D15" s="175" t="s">
        <v>270</v>
      </c>
      <c r="E15" s="172">
        <v>100</v>
      </c>
      <c r="F15" s="173">
        <v>8</v>
      </c>
      <c r="G15" s="162">
        <f t="shared" si="0"/>
        <v>800</v>
      </c>
      <c r="H15" s="230"/>
      <c r="I15" s="51"/>
      <c r="J15" s="51"/>
      <c r="K15" s="51"/>
      <c r="L15" s="51"/>
    </row>
    <row r="16" spans="1:13">
      <c r="A16" s="234"/>
      <c r="B16" s="170" t="s">
        <v>5</v>
      </c>
      <c r="C16" s="238"/>
      <c r="D16" s="171" t="s">
        <v>140</v>
      </c>
      <c r="E16" s="172">
        <v>150</v>
      </c>
      <c r="F16" s="173">
        <v>12</v>
      </c>
      <c r="G16" s="162">
        <f t="shared" si="0"/>
        <v>1800</v>
      </c>
      <c r="H16" s="230"/>
      <c r="I16" s="51"/>
      <c r="J16" s="51"/>
      <c r="K16" s="51"/>
      <c r="L16" s="51"/>
    </row>
    <row r="17" spans="1:12">
      <c r="A17" s="234"/>
      <c r="B17" s="170" t="s">
        <v>5</v>
      </c>
      <c r="C17" s="203" t="s">
        <v>324</v>
      </c>
      <c r="D17" s="175" t="s">
        <v>255</v>
      </c>
      <c r="E17" s="172">
        <v>300</v>
      </c>
      <c r="F17" s="173">
        <v>3</v>
      </c>
      <c r="G17" s="162">
        <f t="shared" si="0"/>
        <v>900</v>
      </c>
      <c r="H17" s="59"/>
      <c r="I17" s="51"/>
      <c r="J17" s="51"/>
      <c r="K17" s="51"/>
      <c r="L17" s="51"/>
    </row>
    <row r="18" spans="1:12">
      <c r="A18" s="234"/>
      <c r="B18" s="170" t="s">
        <v>3</v>
      </c>
      <c r="C18" s="231" t="s">
        <v>365</v>
      </c>
      <c r="D18" s="175" t="s">
        <v>255</v>
      </c>
      <c r="E18" s="172">
        <v>60</v>
      </c>
      <c r="F18" s="173">
        <v>1</v>
      </c>
      <c r="G18" s="162">
        <f t="shared" si="0"/>
        <v>60</v>
      </c>
      <c r="H18" s="59"/>
    </row>
    <row r="19" spans="1:12">
      <c r="A19" s="234"/>
      <c r="B19" s="170" t="s">
        <v>4</v>
      </c>
      <c r="C19" s="231"/>
      <c r="D19" s="171" t="s">
        <v>269</v>
      </c>
      <c r="E19" s="172">
        <v>720</v>
      </c>
      <c r="F19" s="173">
        <v>2</v>
      </c>
      <c r="G19" s="162">
        <f t="shared" si="0"/>
        <v>1440</v>
      </c>
      <c r="H19" s="59"/>
    </row>
    <row r="20" spans="1:12">
      <c r="A20" s="234"/>
      <c r="B20" s="170" t="s">
        <v>5</v>
      </c>
      <c r="C20" s="231"/>
      <c r="D20" s="171" t="s">
        <v>267</v>
      </c>
      <c r="E20" s="172">
        <v>180</v>
      </c>
      <c r="F20" s="173">
        <v>3</v>
      </c>
      <c r="G20" s="162">
        <f t="shared" si="0"/>
        <v>540</v>
      </c>
      <c r="H20" s="59"/>
    </row>
    <row r="21" spans="1:12" ht="14.5" customHeight="1">
      <c r="A21" s="234"/>
      <c r="B21" s="53" t="s">
        <v>5</v>
      </c>
      <c r="C21" s="174" t="s">
        <v>283</v>
      </c>
      <c r="D21" s="186" t="s">
        <v>268</v>
      </c>
      <c r="E21" s="187">
        <v>1200</v>
      </c>
      <c r="F21" s="188">
        <v>0</v>
      </c>
      <c r="G21" s="162">
        <f t="shared" si="0"/>
        <v>0</v>
      </c>
      <c r="H21" s="59"/>
    </row>
    <row r="22" spans="1:12" ht="28">
      <c r="A22" s="234" t="s">
        <v>145</v>
      </c>
      <c r="B22" s="242" t="s">
        <v>145</v>
      </c>
      <c r="C22" s="60" t="s">
        <v>147</v>
      </c>
      <c r="D22" s="52" t="s">
        <v>148</v>
      </c>
      <c r="E22" s="74">
        <v>60</v>
      </c>
      <c r="F22" s="199">
        <v>1</v>
      </c>
      <c r="G22" s="162">
        <f t="shared" si="0"/>
        <v>60</v>
      </c>
      <c r="H22" s="59" t="s">
        <v>362</v>
      </c>
    </row>
    <row r="23" spans="1:12" ht="28">
      <c r="A23" s="234"/>
      <c r="B23" s="242"/>
      <c r="C23" s="60" t="s">
        <v>149</v>
      </c>
      <c r="D23" s="52" t="s">
        <v>148</v>
      </c>
      <c r="E23" s="74">
        <v>60</v>
      </c>
      <c r="F23" s="199">
        <v>1</v>
      </c>
      <c r="G23" s="162">
        <f t="shared" si="0"/>
        <v>60</v>
      </c>
      <c r="H23" s="59" t="s">
        <v>362</v>
      </c>
    </row>
    <row r="24" spans="1:12" ht="14.5">
      <c r="A24" s="234"/>
      <c r="B24" s="242"/>
      <c r="C24" s="60" t="s">
        <v>150</v>
      </c>
      <c r="D24" s="52" t="s">
        <v>148</v>
      </c>
      <c r="E24" s="74">
        <v>30</v>
      </c>
      <c r="F24" s="199">
        <v>1</v>
      </c>
      <c r="G24" s="162">
        <f t="shared" si="0"/>
        <v>30</v>
      </c>
      <c r="H24" s="59" t="s">
        <v>362</v>
      </c>
    </row>
    <row r="25" spans="1:12" ht="14.5">
      <c r="A25" s="234"/>
      <c r="B25" s="242"/>
      <c r="C25" s="60" t="s">
        <v>151</v>
      </c>
      <c r="D25" s="52" t="s">
        <v>148</v>
      </c>
      <c r="E25" s="74">
        <v>30</v>
      </c>
      <c r="F25" s="199">
        <v>1</v>
      </c>
      <c r="G25" s="162">
        <f t="shared" si="0"/>
        <v>30</v>
      </c>
      <c r="H25" s="59" t="s">
        <v>362</v>
      </c>
    </row>
    <row r="26" spans="1:12" ht="29">
      <c r="A26" s="234"/>
      <c r="B26" s="242"/>
      <c r="C26" s="60" t="s">
        <v>219</v>
      </c>
      <c r="D26" s="52" t="s">
        <v>152</v>
      </c>
      <c r="E26" s="74">
        <v>30</v>
      </c>
      <c r="F26" s="199">
        <v>1</v>
      </c>
      <c r="G26" s="162">
        <f t="shared" si="0"/>
        <v>30</v>
      </c>
      <c r="H26" s="59" t="s">
        <v>362</v>
      </c>
    </row>
    <row r="27" spans="1:12" ht="14.5">
      <c r="A27" s="234"/>
      <c r="B27" s="242"/>
      <c r="C27" s="177" t="s">
        <v>334</v>
      </c>
      <c r="D27" s="52" t="s">
        <v>152</v>
      </c>
      <c r="E27" s="74">
        <v>30</v>
      </c>
      <c r="F27" s="199">
        <v>1</v>
      </c>
      <c r="G27" s="162">
        <f t="shared" si="0"/>
        <v>30</v>
      </c>
      <c r="H27" s="59" t="s">
        <v>362</v>
      </c>
    </row>
    <row r="28" spans="1:12" ht="14.5">
      <c r="A28" s="234"/>
      <c r="B28" s="242"/>
      <c r="C28" s="200" t="s">
        <v>335</v>
      </c>
      <c r="D28" s="201" t="s">
        <v>336</v>
      </c>
      <c r="E28" s="74">
        <v>60</v>
      </c>
      <c r="F28" s="199">
        <v>1</v>
      </c>
      <c r="G28" s="162">
        <f t="shared" si="0"/>
        <v>60</v>
      </c>
      <c r="H28" s="59" t="s">
        <v>362</v>
      </c>
    </row>
    <row r="29" spans="1:12" ht="14.5">
      <c r="A29" s="234"/>
      <c r="B29" s="242"/>
      <c r="C29" s="60" t="s">
        <v>155</v>
      </c>
      <c r="D29" s="201" t="s">
        <v>336</v>
      </c>
      <c r="E29" s="74">
        <v>30</v>
      </c>
      <c r="F29" s="199">
        <v>1</v>
      </c>
      <c r="G29" s="162">
        <f t="shared" si="0"/>
        <v>30</v>
      </c>
      <c r="H29" s="59" t="s">
        <v>362</v>
      </c>
    </row>
    <row r="30" spans="1:12" ht="28">
      <c r="A30" s="234"/>
      <c r="B30" s="242"/>
      <c r="C30" s="60" t="s">
        <v>195</v>
      </c>
      <c r="D30" s="201" t="s">
        <v>337</v>
      </c>
      <c r="E30" s="74">
        <v>30</v>
      </c>
      <c r="F30" s="199">
        <v>1</v>
      </c>
      <c r="G30" s="162">
        <f t="shared" si="0"/>
        <v>30</v>
      </c>
      <c r="H30" s="59" t="s">
        <v>362</v>
      </c>
    </row>
    <row r="31" spans="1:12" ht="14.5">
      <c r="A31" s="234"/>
      <c r="B31" s="242"/>
      <c r="C31" s="60" t="s">
        <v>177</v>
      </c>
      <c r="D31" s="201" t="s">
        <v>337</v>
      </c>
      <c r="E31" s="74">
        <v>30</v>
      </c>
      <c r="F31" s="199">
        <v>1</v>
      </c>
      <c r="G31" s="162">
        <f t="shared" si="0"/>
        <v>30</v>
      </c>
      <c r="H31" s="59" t="s">
        <v>362</v>
      </c>
    </row>
    <row r="32" spans="1:12" ht="28.5">
      <c r="A32" s="234"/>
      <c r="B32" s="242"/>
      <c r="C32" s="60" t="s">
        <v>157</v>
      </c>
      <c r="D32" s="201" t="s">
        <v>337</v>
      </c>
      <c r="E32" s="74">
        <v>30</v>
      </c>
      <c r="F32" s="199">
        <v>1</v>
      </c>
      <c r="G32" s="162">
        <f t="shared" si="0"/>
        <v>30</v>
      </c>
      <c r="H32" s="59" t="s">
        <v>362</v>
      </c>
    </row>
    <row r="33" spans="1:8" ht="14.5">
      <c r="A33" s="234"/>
      <c r="B33" s="242"/>
      <c r="C33" s="60" t="s">
        <v>158</v>
      </c>
      <c r="D33" s="201" t="s">
        <v>337</v>
      </c>
      <c r="E33" s="74">
        <v>60</v>
      </c>
      <c r="F33" s="199">
        <v>1</v>
      </c>
      <c r="G33" s="162">
        <f t="shared" si="0"/>
        <v>60</v>
      </c>
      <c r="H33" s="59" t="s">
        <v>362</v>
      </c>
    </row>
    <row r="34" spans="1:8" ht="28">
      <c r="A34" s="234"/>
      <c r="B34" s="242"/>
      <c r="C34" s="60" t="s">
        <v>159</v>
      </c>
      <c r="D34" s="201" t="s">
        <v>337</v>
      </c>
      <c r="E34" s="74">
        <v>30</v>
      </c>
      <c r="F34" s="204">
        <v>0.2</v>
      </c>
      <c r="G34" s="162">
        <f t="shared" si="0"/>
        <v>6</v>
      </c>
      <c r="H34" s="59" t="s">
        <v>362</v>
      </c>
    </row>
    <row r="35" spans="1:8" ht="56.5">
      <c r="A35" s="234"/>
      <c r="B35" s="242"/>
      <c r="C35" s="60" t="s">
        <v>196</v>
      </c>
      <c r="D35" s="201" t="s">
        <v>337</v>
      </c>
      <c r="E35" s="74">
        <v>180</v>
      </c>
      <c r="F35" s="199">
        <v>1</v>
      </c>
      <c r="G35" s="162">
        <f t="shared" si="0"/>
        <v>180</v>
      </c>
      <c r="H35" s="59" t="s">
        <v>362</v>
      </c>
    </row>
    <row r="36" spans="1:8" ht="28">
      <c r="A36" s="234"/>
      <c r="B36" s="242"/>
      <c r="C36" s="60" t="s">
        <v>178</v>
      </c>
      <c r="D36" s="201" t="s">
        <v>337</v>
      </c>
      <c r="E36" s="74">
        <v>30</v>
      </c>
      <c r="F36" s="199">
        <v>1</v>
      </c>
      <c r="G36" s="162">
        <f t="shared" si="0"/>
        <v>30</v>
      </c>
      <c r="H36" s="59" t="s">
        <v>362</v>
      </c>
    </row>
    <row r="37" spans="1:8" ht="28">
      <c r="A37" s="234"/>
      <c r="B37" s="242"/>
      <c r="C37" s="60" t="s">
        <v>231</v>
      </c>
      <c r="D37" s="201" t="s">
        <v>337</v>
      </c>
      <c r="E37" s="74">
        <v>30</v>
      </c>
      <c r="F37" s="199">
        <v>1</v>
      </c>
      <c r="G37" s="162">
        <f t="shared" si="0"/>
        <v>30</v>
      </c>
      <c r="H37" s="59" t="s">
        <v>362</v>
      </c>
    </row>
    <row r="38" spans="1:8" ht="14.5">
      <c r="A38" s="234" t="s">
        <v>19</v>
      </c>
      <c r="B38" s="242" t="s">
        <v>277</v>
      </c>
      <c r="C38" s="60" t="s">
        <v>272</v>
      </c>
      <c r="D38" s="201" t="s">
        <v>266</v>
      </c>
      <c r="E38" s="69">
        <v>30</v>
      </c>
      <c r="F38" s="199">
        <v>4</v>
      </c>
      <c r="G38" s="162">
        <f t="shared" si="0"/>
        <v>120</v>
      </c>
      <c r="H38" s="59" t="s">
        <v>350</v>
      </c>
    </row>
    <row r="39" spans="1:8" ht="14.5">
      <c r="A39" s="234"/>
      <c r="B39" s="242"/>
      <c r="C39" s="60" t="s">
        <v>273</v>
      </c>
      <c r="D39" s="201" t="s">
        <v>266</v>
      </c>
      <c r="E39" s="69">
        <v>30</v>
      </c>
      <c r="F39" s="199">
        <v>4</v>
      </c>
      <c r="G39" s="162">
        <f t="shared" si="0"/>
        <v>120</v>
      </c>
      <c r="H39" s="59" t="s">
        <v>350</v>
      </c>
    </row>
    <row r="40" spans="1:8" ht="14.5">
      <c r="A40" s="234"/>
      <c r="B40" s="242"/>
      <c r="C40" s="60" t="s">
        <v>274</v>
      </c>
      <c r="D40" s="201" t="s">
        <v>266</v>
      </c>
      <c r="E40" s="69">
        <v>240</v>
      </c>
      <c r="F40" s="199">
        <v>4</v>
      </c>
      <c r="G40" s="162">
        <f t="shared" si="0"/>
        <v>960</v>
      </c>
      <c r="H40" s="59" t="s">
        <v>350</v>
      </c>
    </row>
    <row r="41" spans="1:8" ht="14.5">
      <c r="A41" s="234"/>
      <c r="B41" s="242"/>
      <c r="C41" s="60" t="s">
        <v>275</v>
      </c>
      <c r="D41" s="201" t="s">
        <v>255</v>
      </c>
      <c r="E41" s="69">
        <v>30</v>
      </c>
      <c r="F41" s="199">
        <v>2</v>
      </c>
      <c r="G41" s="162">
        <f t="shared" si="0"/>
        <v>60</v>
      </c>
      <c r="H41" s="59" t="s">
        <v>344</v>
      </c>
    </row>
    <row r="42" spans="1:8" ht="14.5">
      <c r="A42" s="234"/>
      <c r="B42" s="242"/>
      <c r="C42" s="60" t="s">
        <v>276</v>
      </c>
      <c r="D42" s="201" t="s">
        <v>279</v>
      </c>
      <c r="E42" s="69">
        <v>120</v>
      </c>
      <c r="F42" s="199">
        <v>4</v>
      </c>
      <c r="G42" s="162">
        <f t="shared" ref="G42" si="1">E42*F42</f>
        <v>480</v>
      </c>
      <c r="H42" s="59" t="s">
        <v>350</v>
      </c>
    </row>
    <row r="43" spans="1:8" ht="14.5">
      <c r="A43" s="239" t="s">
        <v>261</v>
      </c>
      <c r="B43" s="140" t="s">
        <v>168</v>
      </c>
      <c r="C43" s="178" t="s">
        <v>136</v>
      </c>
      <c r="D43" s="52"/>
      <c r="E43" s="69">
        <v>300</v>
      </c>
      <c r="F43" s="77">
        <v>4</v>
      </c>
      <c r="G43" s="162">
        <f t="shared" si="0"/>
        <v>1200</v>
      </c>
      <c r="H43" s="59" t="s">
        <v>351</v>
      </c>
    </row>
    <row r="44" spans="1:8" ht="14.5">
      <c r="A44" s="240"/>
      <c r="B44" s="140" t="s">
        <v>5</v>
      </c>
      <c r="C44" s="178" t="s">
        <v>136</v>
      </c>
      <c r="D44" s="171"/>
      <c r="E44" s="172">
        <v>300</v>
      </c>
      <c r="F44" s="173">
        <v>4</v>
      </c>
      <c r="G44" s="162">
        <f t="shared" si="0"/>
        <v>1200</v>
      </c>
      <c r="H44" s="59" t="s">
        <v>351</v>
      </c>
    </row>
    <row r="45" spans="1:8" ht="14.5">
      <c r="A45" s="240"/>
      <c r="B45" s="140" t="s">
        <v>220</v>
      </c>
      <c r="C45" s="178" t="s">
        <v>238</v>
      </c>
      <c r="D45" s="171"/>
      <c r="E45" s="172">
        <v>1800</v>
      </c>
      <c r="F45" s="173">
        <v>1</v>
      </c>
      <c r="G45" s="162">
        <f t="shared" si="0"/>
        <v>1800</v>
      </c>
      <c r="H45" s="59"/>
    </row>
    <row r="46" spans="1:8" ht="14.5">
      <c r="A46" s="240"/>
      <c r="B46" s="176" t="s">
        <v>237</v>
      </c>
      <c r="C46" s="178" t="s">
        <v>239</v>
      </c>
      <c r="D46" s="171"/>
      <c r="E46" s="172">
        <v>600</v>
      </c>
      <c r="F46" s="173">
        <v>1</v>
      </c>
      <c r="G46" s="162">
        <f t="shared" si="0"/>
        <v>600</v>
      </c>
      <c r="H46" s="59"/>
    </row>
    <row r="47" spans="1:8">
      <c r="A47" s="240"/>
      <c r="B47" s="176" t="s">
        <v>233</v>
      </c>
      <c r="C47" s="174" t="s">
        <v>284</v>
      </c>
      <c r="D47" s="171"/>
      <c r="E47" s="172">
        <v>1800</v>
      </c>
      <c r="F47" s="173">
        <v>1</v>
      </c>
      <c r="G47" s="162">
        <f t="shared" si="0"/>
        <v>1800</v>
      </c>
      <c r="H47" s="59"/>
    </row>
    <row r="48" spans="1:8">
      <c r="A48" s="240"/>
      <c r="B48" s="176" t="s">
        <v>258</v>
      </c>
      <c r="C48" s="180" t="s">
        <v>259</v>
      </c>
      <c r="D48" s="171"/>
      <c r="E48" s="172">
        <v>540</v>
      </c>
      <c r="F48" s="173">
        <v>1</v>
      </c>
      <c r="G48" s="162">
        <f t="shared" si="0"/>
        <v>540</v>
      </c>
      <c r="H48" s="59"/>
    </row>
    <row r="49" spans="1:8">
      <c r="A49" s="240"/>
      <c r="B49" s="181" t="s">
        <v>258</v>
      </c>
      <c r="C49" s="174" t="s">
        <v>260</v>
      </c>
      <c r="D49" s="171"/>
      <c r="E49" s="172">
        <v>2400</v>
      </c>
      <c r="F49" s="173">
        <v>0.5</v>
      </c>
      <c r="G49" s="162">
        <f t="shared" si="0"/>
        <v>1200</v>
      </c>
      <c r="H49" s="59"/>
    </row>
    <row r="50" spans="1:8">
      <c r="A50" s="240"/>
      <c r="B50" s="181" t="s">
        <v>258</v>
      </c>
      <c r="C50" s="174" t="s">
        <v>271</v>
      </c>
      <c r="D50" s="171"/>
      <c r="E50" s="172">
        <v>900</v>
      </c>
      <c r="F50" s="182">
        <v>0.2</v>
      </c>
      <c r="G50" s="162">
        <f t="shared" si="0"/>
        <v>180</v>
      </c>
      <c r="H50" s="59"/>
    </row>
    <row r="51" spans="1:8">
      <c r="A51" s="241"/>
      <c r="B51" s="170" t="s">
        <v>3</v>
      </c>
      <c r="C51" s="158" t="s">
        <v>338</v>
      </c>
      <c r="D51" s="52" t="s">
        <v>339</v>
      </c>
      <c r="E51" s="52">
        <v>1800</v>
      </c>
      <c r="F51" s="77">
        <v>1</v>
      </c>
      <c r="G51" s="162">
        <f>E51*F51</f>
        <v>1800</v>
      </c>
      <c r="H51" s="158" t="s">
        <v>361</v>
      </c>
    </row>
    <row r="52" spans="1:8" hidden="1">
      <c r="B52" s="209" t="s">
        <v>369</v>
      </c>
    </row>
    <row r="53" spans="1:8" hidden="1">
      <c r="B53" s="210" t="s">
        <v>370</v>
      </c>
    </row>
    <row r="54" spans="1:8" hidden="1">
      <c r="B54" s="50" t="s">
        <v>371</v>
      </c>
    </row>
    <row r="55" spans="1:8" hidden="1">
      <c r="B55" s="50" t="s">
        <v>372</v>
      </c>
    </row>
    <row r="56" spans="1:8" hidden="1">
      <c r="B56" s="209" t="s">
        <v>373</v>
      </c>
    </row>
  </sheetData>
  <mergeCells count="13">
    <mergeCell ref="A43:A51"/>
    <mergeCell ref="A38:A42"/>
    <mergeCell ref="B38:B42"/>
    <mergeCell ref="A22:A37"/>
    <mergeCell ref="B22:B37"/>
    <mergeCell ref="H14:H16"/>
    <mergeCell ref="C18:C20"/>
    <mergeCell ref="I11:J11"/>
    <mergeCell ref="L11:M11"/>
    <mergeCell ref="A2:A21"/>
    <mergeCell ref="C6:C10"/>
    <mergeCell ref="C11:C13"/>
    <mergeCell ref="C14:C16"/>
  </mergeCells>
  <phoneticPr fontId="1" type="noConversion"/>
  <pageMargins left="0.70866141732283472" right="0.70866141732283472" top="0.39370078740157483" bottom="0.39370078740157483" header="0.31496062992125984" footer="0.31496062992125984"/>
  <pageSetup paperSize="9" orientation="landscape" r:id="rId1"/>
  <headerFooter>
    <oddFooter>&amp;L&amp;1#&amp;"Calibri"&amp;10&amp;K737373Caterpillar: Confidential Green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149A-E291-4FE9-AE44-9C1A76AF0081}">
  <sheetPr>
    <pageSetUpPr fitToPage="1"/>
  </sheetPr>
  <dimension ref="A1:M50"/>
  <sheetViews>
    <sheetView tabSelected="1" zoomScale="130" zoomScaleNormal="130" zoomScaleSheetLayoutView="100" workbookViewId="0">
      <pane ySplit="1" topLeftCell="A2" activePane="bottomLeft" state="frozen"/>
      <selection pane="bottomLeft" activeCell="C2" sqref="C2"/>
    </sheetView>
  </sheetViews>
  <sheetFormatPr defaultColWidth="9.90625" defaultRowHeight="14"/>
  <cols>
    <col min="1" max="1" width="7.36328125" style="51" bestFit="1" customWidth="1"/>
    <col min="2" max="2" width="20.453125" style="50" bestFit="1" customWidth="1"/>
    <col min="3" max="3" width="33" style="62" customWidth="1"/>
    <col min="4" max="4" width="7.1796875" style="51" bestFit="1" customWidth="1"/>
    <col min="5" max="5" width="6.26953125" style="51" bestFit="1" customWidth="1"/>
    <col min="6" max="6" width="7.7265625" style="51" bestFit="1" customWidth="1"/>
    <col min="7" max="7" width="8.6328125" style="168" bestFit="1" customWidth="1"/>
    <col min="8" max="8" width="30.81640625" style="211" bestFit="1" customWidth="1"/>
    <col min="9" max="9" width="9.26953125" style="50" bestFit="1" customWidth="1"/>
    <col min="10" max="10" width="9.26953125" style="50" customWidth="1"/>
    <col min="11" max="11" width="4.90625" style="50" bestFit="1" customWidth="1"/>
    <col min="12" max="12" width="14.453125" style="50" bestFit="1" customWidth="1"/>
    <col min="13" max="16384" width="9.90625" style="50"/>
  </cols>
  <sheetData>
    <row r="1" spans="1:13">
      <c r="A1" s="198" t="s">
        <v>182</v>
      </c>
      <c r="B1" s="198" t="s">
        <v>183</v>
      </c>
      <c r="C1" s="202" t="s">
        <v>340</v>
      </c>
      <c r="D1" s="198" t="s">
        <v>143</v>
      </c>
      <c r="E1" s="198" t="s">
        <v>222</v>
      </c>
      <c r="F1" s="206" t="s">
        <v>185</v>
      </c>
      <c r="G1" s="207" t="s">
        <v>232</v>
      </c>
      <c r="H1" s="207" t="s">
        <v>316</v>
      </c>
    </row>
    <row r="2" spans="1:13" ht="14.15" customHeight="1">
      <c r="A2" s="234" t="s">
        <v>144</v>
      </c>
      <c r="B2" s="170" t="s">
        <v>3</v>
      </c>
      <c r="C2" s="180" t="s">
        <v>317</v>
      </c>
      <c r="D2" s="171" t="s">
        <v>139</v>
      </c>
      <c r="E2" s="172">
        <v>120</v>
      </c>
      <c r="F2" s="173">
        <v>7</v>
      </c>
      <c r="G2" s="205">
        <f>E2*F2</f>
        <v>840</v>
      </c>
      <c r="H2" s="60" t="s">
        <v>352</v>
      </c>
    </row>
    <row r="3" spans="1:13" ht="14.5">
      <c r="A3" s="234"/>
      <c r="B3" s="170" t="s">
        <v>4</v>
      </c>
      <c r="C3" s="180" t="s">
        <v>317</v>
      </c>
      <c r="D3" s="171" t="s">
        <v>139</v>
      </c>
      <c r="E3" s="172">
        <v>120</v>
      </c>
      <c r="F3" s="173">
        <v>7</v>
      </c>
      <c r="G3" s="205">
        <f t="shared" ref="G3:G6" si="0">E3*F3</f>
        <v>840</v>
      </c>
      <c r="H3" s="60" t="s">
        <v>352</v>
      </c>
    </row>
    <row r="4" spans="1:13" ht="16.5">
      <c r="A4" s="234"/>
      <c r="B4" s="170" t="s">
        <v>5</v>
      </c>
      <c r="C4" s="178" t="s">
        <v>333</v>
      </c>
      <c r="D4" s="171" t="s">
        <v>139</v>
      </c>
      <c r="E4" s="172">
        <v>480</v>
      </c>
      <c r="F4" s="173">
        <v>2</v>
      </c>
      <c r="G4" s="205">
        <f t="shared" si="0"/>
        <v>960</v>
      </c>
      <c r="H4" s="60" t="s">
        <v>323</v>
      </c>
    </row>
    <row r="5" spans="1:13" ht="16.5">
      <c r="A5" s="234"/>
      <c r="B5" s="170" t="s">
        <v>5</v>
      </c>
      <c r="C5" s="178" t="s">
        <v>332</v>
      </c>
      <c r="D5" s="171" t="s">
        <v>139</v>
      </c>
      <c r="E5" s="172">
        <v>480</v>
      </c>
      <c r="F5" s="173">
        <v>4</v>
      </c>
      <c r="G5" s="205">
        <f t="shared" si="0"/>
        <v>1920</v>
      </c>
      <c r="H5" s="60" t="s">
        <v>353</v>
      </c>
    </row>
    <row r="6" spans="1:13" ht="14.5">
      <c r="A6" s="234"/>
      <c r="B6" s="170" t="s">
        <v>328</v>
      </c>
      <c r="C6" s="235" t="s">
        <v>173</v>
      </c>
      <c r="D6" s="185" t="s">
        <v>281</v>
      </c>
      <c r="E6" s="183">
        <v>60</v>
      </c>
      <c r="F6" s="173">
        <v>2</v>
      </c>
      <c r="G6" s="205">
        <f t="shared" si="0"/>
        <v>120</v>
      </c>
      <c r="H6" s="60" t="s">
        <v>323</v>
      </c>
    </row>
    <row r="7" spans="1:13" ht="14.5">
      <c r="A7" s="234"/>
      <c r="B7" s="170" t="s">
        <v>326</v>
      </c>
      <c r="C7" s="236"/>
      <c r="D7" s="185" t="s">
        <v>330</v>
      </c>
      <c r="E7" s="183">
        <v>120</v>
      </c>
      <c r="F7" s="173">
        <v>6</v>
      </c>
      <c r="G7" s="205">
        <f>E7*F7</f>
        <v>720</v>
      </c>
      <c r="H7" s="60" t="s">
        <v>354</v>
      </c>
    </row>
    <row r="8" spans="1:13" ht="14.5">
      <c r="A8" s="234"/>
      <c r="B8" s="170" t="s">
        <v>329</v>
      </c>
      <c r="C8" s="236"/>
      <c r="D8" s="171" t="s">
        <v>139</v>
      </c>
      <c r="E8" s="172">
        <v>60</v>
      </c>
      <c r="F8" s="173">
        <v>2</v>
      </c>
      <c r="G8" s="205">
        <f t="shared" ref="G8:G45" si="1">E8*F8</f>
        <v>120</v>
      </c>
      <c r="H8" s="60" t="s">
        <v>323</v>
      </c>
    </row>
    <row r="9" spans="1:13" ht="14.5">
      <c r="A9" s="234"/>
      <c r="B9" s="170" t="s">
        <v>327</v>
      </c>
      <c r="C9" s="236"/>
      <c r="D9" s="171" t="s">
        <v>331</v>
      </c>
      <c r="E9" s="172">
        <v>120</v>
      </c>
      <c r="F9" s="173">
        <v>6</v>
      </c>
      <c r="G9" s="205">
        <f t="shared" si="1"/>
        <v>720</v>
      </c>
      <c r="H9" s="60" t="s">
        <v>354</v>
      </c>
    </row>
    <row r="10" spans="1:13" ht="14.5">
      <c r="A10" s="234"/>
      <c r="B10" s="170" t="s">
        <v>321</v>
      </c>
      <c r="C10" s="236"/>
      <c r="D10" s="171" t="s">
        <v>139</v>
      </c>
      <c r="E10" s="172">
        <v>60</v>
      </c>
      <c r="F10" s="173">
        <v>2</v>
      </c>
      <c r="G10" s="205">
        <f t="shared" si="1"/>
        <v>120</v>
      </c>
      <c r="H10" s="60" t="s">
        <v>323</v>
      </c>
    </row>
    <row r="11" spans="1:13" ht="14.5">
      <c r="A11" s="234"/>
      <c r="B11" s="170" t="s">
        <v>320</v>
      </c>
      <c r="C11" s="237"/>
      <c r="D11" s="175" t="s">
        <v>322</v>
      </c>
      <c r="E11" s="172">
        <v>120</v>
      </c>
      <c r="F11" s="173">
        <v>6</v>
      </c>
      <c r="G11" s="205">
        <f t="shared" si="1"/>
        <v>720</v>
      </c>
      <c r="H11" s="60" t="s">
        <v>354</v>
      </c>
    </row>
    <row r="12" spans="1:13" ht="14.5">
      <c r="A12" s="234"/>
      <c r="B12" s="170" t="s">
        <v>3</v>
      </c>
      <c r="C12" s="238" t="s">
        <v>135</v>
      </c>
      <c r="D12" s="171" t="s">
        <v>139</v>
      </c>
      <c r="E12" s="172">
        <v>120</v>
      </c>
      <c r="F12" s="173">
        <v>5</v>
      </c>
      <c r="G12" s="205">
        <f t="shared" si="1"/>
        <v>600</v>
      </c>
      <c r="H12" s="60" t="s">
        <v>355</v>
      </c>
      <c r="I12" s="232"/>
      <c r="J12" s="232"/>
      <c r="K12" s="51"/>
      <c r="L12" s="232"/>
      <c r="M12" s="233"/>
    </row>
    <row r="13" spans="1:13" ht="14.5">
      <c r="A13" s="234"/>
      <c r="B13" s="170" t="s">
        <v>4</v>
      </c>
      <c r="C13" s="238"/>
      <c r="D13" s="171" t="s">
        <v>139</v>
      </c>
      <c r="E13" s="172">
        <v>180</v>
      </c>
      <c r="F13" s="173">
        <v>4</v>
      </c>
      <c r="G13" s="205">
        <f t="shared" si="1"/>
        <v>720</v>
      </c>
      <c r="H13" s="60" t="s">
        <v>353</v>
      </c>
      <c r="I13" s="197"/>
      <c r="J13" s="51"/>
      <c r="K13" s="51"/>
      <c r="L13" s="197"/>
      <c r="M13" s="51"/>
    </row>
    <row r="14" spans="1:13" ht="14.5">
      <c r="A14" s="234"/>
      <c r="B14" s="170" t="s">
        <v>243</v>
      </c>
      <c r="C14" s="238"/>
      <c r="D14" s="179" t="s">
        <v>255</v>
      </c>
      <c r="E14" s="172">
        <v>720</v>
      </c>
      <c r="F14" s="173">
        <v>1</v>
      </c>
      <c r="G14" s="205">
        <f t="shared" si="1"/>
        <v>720</v>
      </c>
      <c r="H14" s="60" t="s">
        <v>325</v>
      </c>
      <c r="I14" s="197"/>
      <c r="J14" s="51"/>
      <c r="K14" s="51"/>
      <c r="L14" s="51"/>
    </row>
    <row r="15" spans="1:13">
      <c r="A15" s="234"/>
      <c r="B15" s="170" t="s">
        <v>3</v>
      </c>
      <c r="C15" s="238" t="s">
        <v>174</v>
      </c>
      <c r="D15" s="175" t="s">
        <v>270</v>
      </c>
      <c r="E15" s="172">
        <v>100</v>
      </c>
      <c r="F15" s="173">
        <v>8</v>
      </c>
      <c r="G15" s="205">
        <f t="shared" si="1"/>
        <v>800</v>
      </c>
      <c r="H15" s="229" t="s">
        <v>356</v>
      </c>
      <c r="I15" s="51"/>
      <c r="J15" s="51"/>
      <c r="K15" s="51"/>
      <c r="L15" s="51"/>
    </row>
    <row r="16" spans="1:13" ht="13.75" customHeight="1">
      <c r="A16" s="234"/>
      <c r="B16" s="170" t="s">
        <v>4</v>
      </c>
      <c r="C16" s="238"/>
      <c r="D16" s="175" t="s">
        <v>270</v>
      </c>
      <c r="E16" s="172">
        <v>100</v>
      </c>
      <c r="F16" s="173">
        <v>8</v>
      </c>
      <c r="G16" s="205">
        <f t="shared" si="1"/>
        <v>800</v>
      </c>
      <c r="H16" s="230"/>
      <c r="I16" s="51"/>
      <c r="J16" s="51"/>
      <c r="K16" s="51"/>
      <c r="L16" s="51"/>
    </row>
    <row r="17" spans="1:12">
      <c r="A17" s="234"/>
      <c r="B17" s="170" t="s">
        <v>5</v>
      </c>
      <c r="C17" s="238"/>
      <c r="D17" s="171" t="s">
        <v>140</v>
      </c>
      <c r="E17" s="172">
        <v>150</v>
      </c>
      <c r="F17" s="173">
        <v>8</v>
      </c>
      <c r="G17" s="205">
        <f t="shared" si="1"/>
        <v>1200</v>
      </c>
      <c r="H17" s="230"/>
      <c r="I17" s="51"/>
      <c r="J17" s="51"/>
      <c r="K17" s="51"/>
      <c r="L17" s="51"/>
    </row>
    <row r="18" spans="1:12">
      <c r="A18" s="234"/>
      <c r="B18" s="170" t="s">
        <v>5</v>
      </c>
      <c r="C18" s="179" t="s">
        <v>324</v>
      </c>
      <c r="D18" s="175" t="s">
        <v>255</v>
      </c>
      <c r="E18" s="172">
        <v>300</v>
      </c>
      <c r="F18" s="173">
        <v>2</v>
      </c>
      <c r="G18" s="205">
        <f t="shared" si="1"/>
        <v>600</v>
      </c>
      <c r="H18" s="140"/>
      <c r="I18" s="51"/>
      <c r="J18" s="51"/>
      <c r="K18" s="51"/>
      <c r="L18" s="51"/>
    </row>
    <row r="19" spans="1:12">
      <c r="A19" s="234"/>
      <c r="B19" s="170" t="s">
        <v>3</v>
      </c>
      <c r="C19" s="231" t="s">
        <v>366</v>
      </c>
      <c r="D19" s="175" t="s">
        <v>270</v>
      </c>
      <c r="E19" s="172">
        <v>600</v>
      </c>
      <c r="F19" s="173">
        <v>1</v>
      </c>
      <c r="G19" s="205">
        <f t="shared" si="1"/>
        <v>600</v>
      </c>
      <c r="H19" s="140"/>
    </row>
    <row r="20" spans="1:12">
      <c r="A20" s="234"/>
      <c r="B20" s="170" t="s">
        <v>4</v>
      </c>
      <c r="C20" s="231"/>
      <c r="D20" s="171" t="s">
        <v>269</v>
      </c>
      <c r="E20" s="172">
        <v>720</v>
      </c>
      <c r="F20" s="173">
        <v>2</v>
      </c>
      <c r="G20" s="205">
        <f t="shared" si="1"/>
        <v>1440</v>
      </c>
      <c r="H20" s="140"/>
    </row>
    <row r="21" spans="1:12">
      <c r="A21" s="234"/>
      <c r="B21" s="170" t="s">
        <v>5</v>
      </c>
      <c r="C21" s="231"/>
      <c r="D21" s="171" t="s">
        <v>267</v>
      </c>
      <c r="E21" s="172">
        <v>180</v>
      </c>
      <c r="F21" s="173">
        <v>2</v>
      </c>
      <c r="G21" s="205">
        <f t="shared" si="1"/>
        <v>360</v>
      </c>
      <c r="H21" s="140"/>
    </row>
    <row r="22" spans="1:12">
      <c r="A22" s="234"/>
      <c r="B22" s="53" t="s">
        <v>282</v>
      </c>
      <c r="C22" s="174" t="s">
        <v>283</v>
      </c>
      <c r="D22" s="186" t="s">
        <v>268</v>
      </c>
      <c r="E22" s="187">
        <v>1200</v>
      </c>
      <c r="F22" s="188">
        <v>0</v>
      </c>
      <c r="G22" s="205">
        <f t="shared" si="1"/>
        <v>0</v>
      </c>
      <c r="H22" s="140"/>
    </row>
    <row r="23" spans="1:12" ht="14.5">
      <c r="A23" s="234" t="s">
        <v>19</v>
      </c>
      <c r="B23" s="242" t="s">
        <v>277</v>
      </c>
      <c r="C23" s="60" t="s">
        <v>272</v>
      </c>
      <c r="D23" s="201" t="s">
        <v>266</v>
      </c>
      <c r="E23" s="69">
        <v>30</v>
      </c>
      <c r="F23" s="199">
        <v>4</v>
      </c>
      <c r="G23" s="162">
        <f t="shared" si="1"/>
        <v>120</v>
      </c>
      <c r="H23" s="60" t="s">
        <v>360</v>
      </c>
    </row>
    <row r="24" spans="1:12" ht="14.5">
      <c r="A24" s="234"/>
      <c r="B24" s="242"/>
      <c r="C24" s="60" t="s">
        <v>273</v>
      </c>
      <c r="D24" s="201" t="s">
        <v>266</v>
      </c>
      <c r="E24" s="69">
        <v>30</v>
      </c>
      <c r="F24" s="199">
        <v>4</v>
      </c>
      <c r="G24" s="162">
        <f t="shared" si="1"/>
        <v>120</v>
      </c>
      <c r="H24" s="60" t="s">
        <v>360</v>
      </c>
    </row>
    <row r="25" spans="1:12" ht="14.5">
      <c r="A25" s="234"/>
      <c r="B25" s="242"/>
      <c r="C25" s="60" t="s">
        <v>274</v>
      </c>
      <c r="D25" s="201" t="s">
        <v>266</v>
      </c>
      <c r="E25" s="69">
        <v>240</v>
      </c>
      <c r="F25" s="199">
        <v>4</v>
      </c>
      <c r="G25" s="162">
        <f t="shared" si="1"/>
        <v>960</v>
      </c>
      <c r="H25" s="60" t="s">
        <v>360</v>
      </c>
    </row>
    <row r="26" spans="1:12" ht="14.5">
      <c r="A26" s="234"/>
      <c r="B26" s="242"/>
      <c r="C26" s="60" t="s">
        <v>275</v>
      </c>
      <c r="D26" s="201" t="s">
        <v>278</v>
      </c>
      <c r="E26" s="69">
        <v>30</v>
      </c>
      <c r="F26" s="199">
        <v>2</v>
      </c>
      <c r="G26" s="162">
        <f t="shared" si="1"/>
        <v>60</v>
      </c>
      <c r="H26" s="60" t="s">
        <v>323</v>
      </c>
    </row>
    <row r="27" spans="1:12" ht="14.5">
      <c r="A27" s="234"/>
      <c r="B27" s="242"/>
      <c r="C27" s="60" t="s">
        <v>276</v>
      </c>
      <c r="D27" s="201" t="s">
        <v>279</v>
      </c>
      <c r="E27" s="69">
        <v>120</v>
      </c>
      <c r="F27" s="199">
        <v>4</v>
      </c>
      <c r="G27" s="162">
        <f>E27*F27</f>
        <v>480</v>
      </c>
      <c r="H27" s="60" t="s">
        <v>360</v>
      </c>
    </row>
    <row r="28" spans="1:12" ht="14.5">
      <c r="A28" s="234"/>
      <c r="B28" s="242"/>
      <c r="C28" s="60" t="s">
        <v>374</v>
      </c>
      <c r="D28" s="201" t="s">
        <v>375</v>
      </c>
      <c r="E28" s="69">
        <v>600</v>
      </c>
      <c r="F28" s="199">
        <v>1</v>
      </c>
      <c r="G28" s="162">
        <f t="shared" ref="G28" si="2">E28*F28</f>
        <v>600</v>
      </c>
      <c r="H28" s="60" t="s">
        <v>350</v>
      </c>
    </row>
    <row r="29" spans="1:12" ht="14.5">
      <c r="A29" s="234" t="s">
        <v>165</v>
      </c>
      <c r="B29" s="242" t="s">
        <v>165</v>
      </c>
      <c r="C29" s="59" t="s">
        <v>367</v>
      </c>
      <c r="D29" s="52" t="s">
        <v>164</v>
      </c>
      <c r="E29" s="74">
        <v>300</v>
      </c>
      <c r="F29" s="77">
        <v>2</v>
      </c>
      <c r="G29" s="196">
        <f t="shared" si="1"/>
        <v>600</v>
      </c>
      <c r="H29" s="176" t="s">
        <v>363</v>
      </c>
    </row>
    <row r="30" spans="1:12">
      <c r="A30" s="234"/>
      <c r="B30" s="242"/>
      <c r="C30" s="137" t="s">
        <v>285</v>
      </c>
      <c r="D30" s="52" t="s">
        <v>318</v>
      </c>
      <c r="E30" s="74">
        <v>500</v>
      </c>
      <c r="F30" s="77">
        <v>4</v>
      </c>
      <c r="G30" s="196">
        <f t="shared" si="1"/>
        <v>2000</v>
      </c>
      <c r="H30" s="176" t="s">
        <v>364</v>
      </c>
    </row>
    <row r="31" spans="1:12">
      <c r="A31" s="234"/>
      <c r="B31" s="242"/>
      <c r="C31" s="177" t="s">
        <v>262</v>
      </c>
      <c r="D31" s="52" t="s">
        <v>319</v>
      </c>
      <c r="E31" s="69">
        <v>10</v>
      </c>
      <c r="F31" s="77">
        <v>4</v>
      </c>
      <c r="G31" s="196">
        <f t="shared" si="1"/>
        <v>40</v>
      </c>
      <c r="H31" s="176" t="s">
        <v>364</v>
      </c>
    </row>
    <row r="32" spans="1:12">
      <c r="A32" s="234"/>
      <c r="B32" s="242"/>
      <c r="C32" s="177" t="s">
        <v>263</v>
      </c>
      <c r="D32" s="52" t="s">
        <v>319</v>
      </c>
      <c r="E32" s="69">
        <v>10</v>
      </c>
      <c r="F32" s="77">
        <v>4</v>
      </c>
      <c r="G32" s="196">
        <f t="shared" si="1"/>
        <v>40</v>
      </c>
      <c r="H32" s="176" t="s">
        <v>364</v>
      </c>
    </row>
    <row r="33" spans="1:8">
      <c r="A33" s="234"/>
      <c r="B33" s="242"/>
      <c r="C33" s="177" t="s">
        <v>264</v>
      </c>
      <c r="D33" s="52" t="s">
        <v>265</v>
      </c>
      <c r="E33" s="69">
        <v>10</v>
      </c>
      <c r="F33" s="77">
        <v>4</v>
      </c>
      <c r="G33" s="196">
        <f t="shared" si="1"/>
        <v>40</v>
      </c>
      <c r="H33" s="176" t="s">
        <v>364</v>
      </c>
    </row>
    <row r="34" spans="1:8">
      <c r="A34" s="234"/>
      <c r="B34" s="242"/>
      <c r="C34" s="60" t="s">
        <v>137</v>
      </c>
      <c r="D34" s="52" t="s">
        <v>318</v>
      </c>
      <c r="E34" s="69">
        <v>100</v>
      </c>
      <c r="F34" s="77">
        <v>4</v>
      </c>
      <c r="G34" s="196">
        <f t="shared" si="1"/>
        <v>400</v>
      </c>
      <c r="H34" s="176" t="s">
        <v>364</v>
      </c>
    </row>
    <row r="35" spans="1:8">
      <c r="A35" s="234"/>
      <c r="B35" s="242"/>
      <c r="C35" s="60" t="s">
        <v>208</v>
      </c>
      <c r="D35" s="52" t="s">
        <v>319</v>
      </c>
      <c r="E35" s="69">
        <v>60</v>
      </c>
      <c r="F35" s="77">
        <v>4</v>
      </c>
      <c r="G35" s="196">
        <f t="shared" si="1"/>
        <v>240</v>
      </c>
      <c r="H35" s="176" t="s">
        <v>364</v>
      </c>
    </row>
    <row r="36" spans="1:8" ht="28.5">
      <c r="A36" s="234"/>
      <c r="B36" s="242"/>
      <c r="C36" s="60" t="s">
        <v>211</v>
      </c>
      <c r="D36" s="52" t="s">
        <v>319</v>
      </c>
      <c r="E36" s="74">
        <v>30</v>
      </c>
      <c r="F36" s="77">
        <v>4</v>
      </c>
      <c r="G36" s="196">
        <f t="shared" si="1"/>
        <v>120</v>
      </c>
      <c r="H36" s="176" t="s">
        <v>364</v>
      </c>
    </row>
    <row r="37" spans="1:8" ht="14.5">
      <c r="A37" s="243" t="s">
        <v>261</v>
      </c>
      <c r="B37" s="140" t="s">
        <v>168</v>
      </c>
      <c r="C37" s="178" t="s">
        <v>136</v>
      </c>
      <c r="D37" s="171"/>
      <c r="E37" s="172">
        <v>300</v>
      </c>
      <c r="F37" s="173">
        <v>4</v>
      </c>
      <c r="G37" s="162">
        <f t="shared" si="1"/>
        <v>1200</v>
      </c>
      <c r="H37" s="60" t="s">
        <v>358</v>
      </c>
    </row>
    <row r="38" spans="1:8" ht="14.5">
      <c r="A38" s="234"/>
      <c r="B38" s="140" t="s">
        <v>5</v>
      </c>
      <c r="C38" s="178" t="s">
        <v>136</v>
      </c>
      <c r="D38" s="171"/>
      <c r="E38" s="172">
        <v>300</v>
      </c>
      <c r="F38" s="173">
        <v>4</v>
      </c>
      <c r="G38" s="162">
        <f t="shared" si="1"/>
        <v>1200</v>
      </c>
      <c r="H38" s="60" t="s">
        <v>358</v>
      </c>
    </row>
    <row r="39" spans="1:8" ht="14.5">
      <c r="A39" s="234"/>
      <c r="B39" s="140" t="s">
        <v>220</v>
      </c>
      <c r="C39" s="178" t="s">
        <v>238</v>
      </c>
      <c r="D39" s="171"/>
      <c r="E39" s="172">
        <v>1800</v>
      </c>
      <c r="F39" s="173">
        <v>1</v>
      </c>
      <c r="G39" s="162">
        <f t="shared" si="1"/>
        <v>1800</v>
      </c>
      <c r="H39" s="140"/>
    </row>
    <row r="40" spans="1:8" ht="14.5">
      <c r="A40" s="234"/>
      <c r="B40" s="176" t="s">
        <v>237</v>
      </c>
      <c r="C40" s="178" t="s">
        <v>239</v>
      </c>
      <c r="D40" s="171"/>
      <c r="E40" s="172">
        <v>600</v>
      </c>
      <c r="F40" s="173">
        <v>1</v>
      </c>
      <c r="G40" s="162">
        <f t="shared" si="1"/>
        <v>600</v>
      </c>
      <c r="H40" s="140"/>
    </row>
    <row r="41" spans="1:8">
      <c r="A41" s="234"/>
      <c r="B41" s="176" t="s">
        <v>233</v>
      </c>
      <c r="C41" s="174" t="s">
        <v>284</v>
      </c>
      <c r="D41" s="171"/>
      <c r="E41" s="172">
        <v>1800</v>
      </c>
      <c r="F41" s="173">
        <v>1</v>
      </c>
      <c r="G41" s="162">
        <f t="shared" si="1"/>
        <v>1800</v>
      </c>
      <c r="H41" s="140"/>
    </row>
    <row r="42" spans="1:8">
      <c r="A42" s="234"/>
      <c r="B42" s="176" t="s">
        <v>258</v>
      </c>
      <c r="C42" s="180" t="s">
        <v>259</v>
      </c>
      <c r="D42" s="171"/>
      <c r="E42" s="172">
        <v>540</v>
      </c>
      <c r="F42" s="173">
        <v>1</v>
      </c>
      <c r="G42" s="162">
        <f t="shared" si="1"/>
        <v>540</v>
      </c>
      <c r="H42" s="140"/>
    </row>
    <row r="43" spans="1:8">
      <c r="A43" s="234"/>
      <c r="B43" s="181" t="s">
        <v>258</v>
      </c>
      <c r="C43" s="174" t="s">
        <v>260</v>
      </c>
      <c r="D43" s="171"/>
      <c r="E43" s="172">
        <v>2400</v>
      </c>
      <c r="F43" s="173">
        <v>0.5</v>
      </c>
      <c r="G43" s="162">
        <f t="shared" si="1"/>
        <v>1200</v>
      </c>
      <c r="H43" s="140"/>
    </row>
    <row r="44" spans="1:8">
      <c r="A44" s="234"/>
      <c r="B44" s="181" t="s">
        <v>258</v>
      </c>
      <c r="C44" s="174" t="s">
        <v>271</v>
      </c>
      <c r="D44" s="171"/>
      <c r="E44" s="172">
        <v>900</v>
      </c>
      <c r="F44" s="184">
        <v>0.2</v>
      </c>
      <c r="G44" s="162">
        <f t="shared" si="1"/>
        <v>180</v>
      </c>
      <c r="H44" s="140"/>
    </row>
    <row r="45" spans="1:8">
      <c r="A45" s="234"/>
      <c r="B45" s="181" t="s">
        <v>145</v>
      </c>
      <c r="C45" s="174" t="s">
        <v>280</v>
      </c>
      <c r="D45" s="171"/>
      <c r="E45" s="183">
        <v>600</v>
      </c>
      <c r="F45" s="77">
        <v>0.2</v>
      </c>
      <c r="G45" s="162">
        <f t="shared" si="1"/>
        <v>120</v>
      </c>
      <c r="H45" s="176" t="s">
        <v>359</v>
      </c>
    </row>
    <row r="46" spans="1:8" hidden="1">
      <c r="B46" s="209" t="s">
        <v>369</v>
      </c>
    </row>
    <row r="47" spans="1:8" hidden="1">
      <c r="B47" s="210" t="s">
        <v>370</v>
      </c>
    </row>
    <row r="48" spans="1:8" hidden="1">
      <c r="B48" s="50" t="s">
        <v>371</v>
      </c>
    </row>
    <row r="49" spans="2:2" hidden="1">
      <c r="B49" s="50" t="s">
        <v>372</v>
      </c>
    </row>
    <row r="50" spans="2:2" hidden="1">
      <c r="B50" s="209" t="s">
        <v>373</v>
      </c>
    </row>
  </sheetData>
  <mergeCells count="13">
    <mergeCell ref="A37:A45"/>
    <mergeCell ref="A2:A22"/>
    <mergeCell ref="C12:C14"/>
    <mergeCell ref="C6:C11"/>
    <mergeCell ref="H15:H17"/>
    <mergeCell ref="I12:J12"/>
    <mergeCell ref="L12:M12"/>
    <mergeCell ref="A29:A36"/>
    <mergeCell ref="B29:B36"/>
    <mergeCell ref="A23:A28"/>
    <mergeCell ref="B23:B28"/>
    <mergeCell ref="C15:C17"/>
    <mergeCell ref="C19:C21"/>
  </mergeCells>
  <phoneticPr fontId="1" type="noConversion"/>
  <pageMargins left="0.70866141732283472" right="0.70866141732283472" top="0.39370078740157483" bottom="0.39370078740157483" header="0.31496062992125984" footer="0.31496062992125984"/>
  <pageSetup paperSize="9" scale="98" orientation="portrait" r:id="rId1"/>
  <headerFooter>
    <oddFooter>&amp;L&amp;1#&amp;"Calibri"&amp;10&amp;K737373Caterpillar: Confidential Green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7370-4FC0-4D09-B6DB-7BB699278399}">
  <dimension ref="A1:D26"/>
  <sheetViews>
    <sheetView workbookViewId="0">
      <selection activeCell="C13" sqref="C13"/>
    </sheetView>
  </sheetViews>
  <sheetFormatPr defaultRowHeight="14.5"/>
  <cols>
    <col min="1" max="1" width="9.453125" bestFit="1" customWidth="1"/>
    <col min="2" max="2" width="35.90625" bestFit="1" customWidth="1"/>
    <col min="3" max="3" width="25.453125" bestFit="1" customWidth="1"/>
    <col min="4" max="4" width="16.08984375" bestFit="1" customWidth="1"/>
  </cols>
  <sheetData>
    <row r="1" spans="1:4" ht="23.5">
      <c r="A1" s="244" t="s">
        <v>286</v>
      </c>
      <c r="B1" s="245"/>
      <c r="C1" s="245"/>
      <c r="D1" s="245"/>
    </row>
    <row r="2" spans="1:4">
      <c r="A2" s="189" t="s">
        <v>287</v>
      </c>
      <c r="B2" s="189" t="s">
        <v>288</v>
      </c>
      <c r="C2" s="190" t="s">
        <v>315</v>
      </c>
      <c r="D2" s="190" t="s">
        <v>308</v>
      </c>
    </row>
    <row r="3" spans="1:4">
      <c r="A3" s="246" t="s">
        <v>289</v>
      </c>
      <c r="B3" s="1" t="s">
        <v>290</v>
      </c>
      <c r="C3" s="191">
        <v>3000</v>
      </c>
      <c r="D3" s="191">
        <v>2700</v>
      </c>
    </row>
    <row r="4" spans="1:4">
      <c r="A4" s="246"/>
      <c r="B4" s="1" t="s">
        <v>291</v>
      </c>
      <c r="C4" s="191">
        <v>1440</v>
      </c>
      <c r="D4" s="191">
        <v>1260</v>
      </c>
    </row>
    <row r="5" spans="1:4">
      <c r="A5" s="246"/>
      <c r="B5" s="1" t="s">
        <v>292</v>
      </c>
      <c r="C5" s="191">
        <v>2040</v>
      </c>
      <c r="D5" s="191">
        <v>2040</v>
      </c>
    </row>
    <row r="6" spans="1:4">
      <c r="A6" s="246"/>
      <c r="B6" s="1" t="s">
        <v>293</v>
      </c>
      <c r="C6" s="191">
        <v>2100</v>
      </c>
      <c r="D6" s="191">
        <v>2100</v>
      </c>
    </row>
    <row r="7" spans="1:4">
      <c r="A7" s="1" t="s">
        <v>294</v>
      </c>
      <c r="B7" s="1" t="s">
        <v>295</v>
      </c>
      <c r="C7" s="191">
        <v>2800</v>
      </c>
      <c r="D7" s="191">
        <v>2800</v>
      </c>
    </row>
    <row r="8" spans="1:4">
      <c r="A8" s="246" t="s">
        <v>289</v>
      </c>
      <c r="B8" s="1" t="s">
        <v>309</v>
      </c>
      <c r="C8" s="191">
        <v>1080</v>
      </c>
      <c r="D8" s="191">
        <v>1080</v>
      </c>
    </row>
    <row r="9" spans="1:4" ht="15.65" customHeight="1">
      <c r="A9" s="246"/>
      <c r="B9" s="1" t="s">
        <v>310</v>
      </c>
      <c r="C9" s="191">
        <v>1860</v>
      </c>
      <c r="D9" s="191">
        <v>1860</v>
      </c>
    </row>
    <row r="10" spans="1:4" ht="15.65" customHeight="1">
      <c r="A10" s="195" t="s">
        <v>311</v>
      </c>
      <c r="B10" s="1" t="s">
        <v>296</v>
      </c>
      <c r="C10" s="191">
        <v>1080</v>
      </c>
      <c r="D10" s="191">
        <v>1080</v>
      </c>
    </row>
    <row r="11" spans="1:4">
      <c r="A11" s="246" t="s">
        <v>311</v>
      </c>
      <c r="B11" s="1" t="s">
        <v>297</v>
      </c>
      <c r="C11" s="191">
        <v>2560</v>
      </c>
      <c r="D11" s="191">
        <v>2560</v>
      </c>
    </row>
    <row r="12" spans="1:4">
      <c r="A12" s="246"/>
      <c r="B12" s="1" t="s">
        <v>312</v>
      </c>
      <c r="C12" s="191">
        <v>1800</v>
      </c>
      <c r="D12" s="191">
        <v>1800</v>
      </c>
    </row>
    <row r="13" spans="1:4">
      <c r="A13" s="246"/>
      <c r="B13" s="1" t="s">
        <v>298</v>
      </c>
      <c r="C13" s="191">
        <v>1672</v>
      </c>
      <c r="D13" s="191"/>
    </row>
    <row r="14" spans="1:4" ht="13.75" customHeight="1">
      <c r="A14" s="1" t="s">
        <v>294</v>
      </c>
      <c r="B14" s="1" t="s">
        <v>299</v>
      </c>
      <c r="C14" s="191">
        <v>844</v>
      </c>
      <c r="D14" s="191">
        <v>844</v>
      </c>
    </row>
    <row r="15" spans="1:4">
      <c r="A15" s="226" t="s">
        <v>300</v>
      </c>
      <c r="B15" s="1" t="s">
        <v>301</v>
      </c>
      <c r="C15" s="191">
        <v>300</v>
      </c>
      <c r="D15" s="191">
        <v>300</v>
      </c>
    </row>
    <row r="16" spans="1:4">
      <c r="A16" s="226"/>
      <c r="B16" s="1" t="s">
        <v>301</v>
      </c>
      <c r="C16" s="191">
        <v>300</v>
      </c>
      <c r="D16" s="191">
        <v>300</v>
      </c>
    </row>
    <row r="17" spans="1:4">
      <c r="A17" s="226"/>
      <c r="B17" s="1" t="s">
        <v>302</v>
      </c>
      <c r="C17" s="191">
        <v>1800</v>
      </c>
      <c r="D17" s="191">
        <v>1800</v>
      </c>
    </row>
    <row r="18" spans="1:4">
      <c r="A18" s="226"/>
      <c r="B18" s="1" t="s">
        <v>303</v>
      </c>
      <c r="C18" s="191">
        <v>600</v>
      </c>
      <c r="D18" s="191">
        <v>600</v>
      </c>
    </row>
    <row r="19" spans="1:4">
      <c r="A19" s="226"/>
      <c r="B19" s="1" t="s">
        <v>313</v>
      </c>
      <c r="C19" s="191">
        <v>1800</v>
      </c>
      <c r="D19" s="191">
        <v>1800</v>
      </c>
    </row>
    <row r="20" spans="1:4">
      <c r="A20" s="226"/>
      <c r="B20" s="1" t="s">
        <v>304</v>
      </c>
      <c r="C20" s="191">
        <v>1080</v>
      </c>
      <c r="D20" s="191">
        <v>1080</v>
      </c>
    </row>
    <row r="21" spans="1:4">
      <c r="A21" s="226"/>
      <c r="B21" s="1" t="s">
        <v>305</v>
      </c>
      <c r="C21" s="191">
        <v>2400</v>
      </c>
      <c r="D21" s="191">
        <v>2400</v>
      </c>
    </row>
    <row r="22" spans="1:4">
      <c r="A22" s="226"/>
      <c r="B22" s="1" t="s">
        <v>314</v>
      </c>
      <c r="C22" s="191">
        <v>297</v>
      </c>
      <c r="D22" s="191">
        <v>297</v>
      </c>
    </row>
    <row r="23" spans="1:4">
      <c r="A23" s="226"/>
      <c r="B23" s="1" t="s">
        <v>280</v>
      </c>
      <c r="C23" s="191">
        <v>120</v>
      </c>
      <c r="D23" s="191">
        <v>120</v>
      </c>
    </row>
    <row r="25" spans="1:4">
      <c r="B25" s="192" t="s">
        <v>306</v>
      </c>
      <c r="C25" s="193">
        <f>SUM(C3:C23)</f>
        <v>30973</v>
      </c>
      <c r="D25" s="193">
        <f>SUM(D3:D23)</f>
        <v>28821</v>
      </c>
    </row>
    <row r="26" spans="1:4">
      <c r="B26" s="192" t="s">
        <v>307</v>
      </c>
      <c r="C26" s="194">
        <f>C25/60</f>
        <v>516.2166666666667</v>
      </c>
      <c r="D26" s="194">
        <f>D25/60</f>
        <v>480.35</v>
      </c>
    </row>
  </sheetData>
  <mergeCells count="5">
    <mergeCell ref="A1:D1"/>
    <mergeCell ref="A3:A6"/>
    <mergeCell ref="A8:A9"/>
    <mergeCell ref="A11:A13"/>
    <mergeCell ref="A15:A2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BE90-5E48-4EC8-BFAD-B51B61B8003F}">
  <sheetPr>
    <pageSetUpPr fitToPage="1"/>
  </sheetPr>
  <dimension ref="A1:M82"/>
  <sheetViews>
    <sheetView zoomScale="70" zoomScaleNormal="70" zoomScaleSheetLayoutView="100" workbookViewId="0">
      <pane xSplit="1" ySplit="13" topLeftCell="B31" activePane="bottomRight" state="frozen"/>
      <selection pane="topRight" activeCell="B1" sqref="B1"/>
      <selection pane="bottomLeft" activeCell="A13" sqref="A13"/>
      <selection pane="bottomRight" activeCell="H43" sqref="H43:H58"/>
    </sheetView>
  </sheetViews>
  <sheetFormatPr defaultColWidth="9.90625" defaultRowHeight="14"/>
  <cols>
    <col min="1" max="1" width="7.08984375" style="51" bestFit="1" customWidth="1"/>
    <col min="2" max="2" width="22.90625" style="50" bestFit="1" customWidth="1"/>
    <col min="3" max="3" width="16.453125" style="51" customWidth="1"/>
    <col min="4" max="4" width="32.90625" style="62" customWidth="1"/>
    <col min="5" max="5" width="12.08984375" style="51" customWidth="1"/>
    <col min="6" max="6" width="7.90625" style="51" customWidth="1"/>
    <col min="7" max="7" width="31.6328125" style="51" bestFit="1" customWidth="1"/>
    <col min="8" max="8" width="39.453125" style="168" bestFit="1" customWidth="1"/>
    <col min="9" max="9" width="13.08984375" style="50" customWidth="1"/>
    <col min="10" max="10" width="9.90625" style="50"/>
    <col min="11" max="12" width="9.90625" style="50" customWidth="1"/>
    <col min="13" max="16384" width="9.90625" style="50"/>
  </cols>
  <sheetData>
    <row r="1" spans="1:13" s="51" customFormat="1">
      <c r="A1" s="87" t="s">
        <v>182</v>
      </c>
      <c r="B1" s="88" t="s">
        <v>183</v>
      </c>
      <c r="C1" s="88" t="s">
        <v>184</v>
      </c>
      <c r="D1" s="89" t="s">
        <v>138</v>
      </c>
      <c r="E1" s="88" t="s">
        <v>222</v>
      </c>
      <c r="F1" s="116" t="s">
        <v>185</v>
      </c>
      <c r="G1" s="116" t="s">
        <v>223</v>
      </c>
      <c r="H1" s="159" t="s">
        <v>224</v>
      </c>
      <c r="I1" s="109" t="s">
        <v>186</v>
      </c>
      <c r="K1" s="122" t="s">
        <v>225</v>
      </c>
      <c r="L1" s="123" t="s">
        <v>226</v>
      </c>
    </row>
    <row r="2" spans="1:13">
      <c r="A2" s="251" t="s">
        <v>144</v>
      </c>
      <c r="B2" s="252" t="s">
        <v>169</v>
      </c>
      <c r="C2" s="86" t="s">
        <v>187</v>
      </c>
      <c r="D2" s="63"/>
      <c r="E2" s="67">
        <f>SUM(H14:H27)</f>
        <v>4700</v>
      </c>
      <c r="F2" s="67">
        <v>2</v>
      </c>
      <c r="G2" s="67">
        <f>E2*F2/60</f>
        <v>156.66666666666666</v>
      </c>
      <c r="H2" s="67">
        <f>E2*F2/60</f>
        <v>156.66666666666666</v>
      </c>
      <c r="I2" s="90">
        <f>E2*F2/60*2-1080/60-(720*4-360)/60</f>
        <v>253.33333333333331</v>
      </c>
      <c r="K2" s="85" t="s">
        <v>227</v>
      </c>
      <c r="L2" s="104">
        <v>480</v>
      </c>
    </row>
    <row r="3" spans="1:13">
      <c r="A3" s="251"/>
      <c r="B3" s="252"/>
      <c r="C3" s="92" t="s">
        <v>188</v>
      </c>
      <c r="D3" s="101"/>
      <c r="E3" s="93">
        <f>SUM(H28:H35)</f>
        <v>3890</v>
      </c>
      <c r="F3" s="93">
        <v>2</v>
      </c>
      <c r="G3" s="93">
        <f>E3*F3/60</f>
        <v>129.66666666666666</v>
      </c>
      <c r="H3" s="93">
        <f>E3*F3/60</f>
        <v>129.66666666666666</v>
      </c>
      <c r="I3" s="102"/>
      <c r="K3" s="85" t="s">
        <v>228</v>
      </c>
      <c r="L3" s="104">
        <v>15</v>
      </c>
    </row>
    <row r="4" spans="1:13">
      <c r="A4" s="91" t="s">
        <v>145</v>
      </c>
      <c r="B4" s="86" t="s">
        <v>145</v>
      </c>
      <c r="C4" s="86" t="s">
        <v>189</v>
      </c>
      <c r="D4" s="63"/>
      <c r="E4" s="67">
        <f>SUM(H43:H58)</f>
        <v>853.33333333333326</v>
      </c>
      <c r="F4" s="125">
        <f>1/2</f>
        <v>0.5</v>
      </c>
      <c r="G4" s="67">
        <f t="shared" ref="G4:G8" si="0">E4*F4/60</f>
        <v>7.1111111111111107</v>
      </c>
      <c r="H4" s="67">
        <f>E4*F4/60</f>
        <v>7.1111111111111107</v>
      </c>
      <c r="I4" s="90">
        <f>E4*F4/60</f>
        <v>7.1111111111111107</v>
      </c>
      <c r="K4" s="85" t="s">
        <v>221</v>
      </c>
      <c r="L4" s="104">
        <v>10</v>
      </c>
    </row>
    <row r="5" spans="1:13">
      <c r="A5" s="100" t="s">
        <v>145</v>
      </c>
      <c r="B5" s="92" t="s">
        <v>145</v>
      </c>
      <c r="C5" s="92" t="s">
        <v>188</v>
      </c>
      <c r="D5" s="101"/>
      <c r="E5" s="93">
        <f>SUM(H59:H61)</f>
        <v>133.33333333333331</v>
      </c>
      <c r="F5" s="126">
        <f>1/2</f>
        <v>0.5</v>
      </c>
      <c r="G5" s="93">
        <f t="shared" si="0"/>
        <v>1.1111111111111109</v>
      </c>
      <c r="H5" s="93">
        <f>E5*F5/60</f>
        <v>1.1111111111111109</v>
      </c>
      <c r="I5" s="102"/>
      <c r="K5" s="85" t="s">
        <v>229</v>
      </c>
      <c r="L5" s="104">
        <v>20</v>
      </c>
    </row>
    <row r="6" spans="1:13">
      <c r="A6" s="91" t="s">
        <v>19</v>
      </c>
      <c r="B6" s="86" t="s">
        <v>19</v>
      </c>
      <c r="C6" s="86" t="s">
        <v>189</v>
      </c>
      <c r="D6" s="63"/>
      <c r="E6" s="67">
        <f>SUM(H62:H63)</f>
        <v>850</v>
      </c>
      <c r="F6" s="67">
        <v>1</v>
      </c>
      <c r="G6" s="67">
        <f>E6*F6/60</f>
        <v>14.166666666666666</v>
      </c>
      <c r="H6" s="67">
        <f>(E6-500)*F6/60</f>
        <v>5.833333333333333</v>
      </c>
      <c r="I6" s="90">
        <f>E6*F6/60</f>
        <v>14.166666666666666</v>
      </c>
      <c r="K6" s="85" t="s">
        <v>230</v>
      </c>
      <c r="L6" s="104">
        <f>L2-L3-L4-L5</f>
        <v>435</v>
      </c>
      <c r="M6" s="134">
        <v>0.88</v>
      </c>
    </row>
    <row r="7" spans="1:13" ht="14.5" thickBot="1">
      <c r="A7" s="251" t="s">
        <v>165</v>
      </c>
      <c r="B7" s="252" t="s">
        <v>165</v>
      </c>
      <c r="C7" s="86" t="s">
        <v>189</v>
      </c>
      <c r="D7" s="63"/>
      <c r="E7" s="67">
        <f>SUM(H64:H81)</f>
        <v>2209.333333333333</v>
      </c>
      <c r="F7" s="125">
        <f>1/2</f>
        <v>0.5</v>
      </c>
      <c r="G7" s="67">
        <f>E7*F7/60</f>
        <v>18.411111111111108</v>
      </c>
      <c r="H7" s="117">
        <v>0</v>
      </c>
      <c r="I7" s="90">
        <f>(E7-H64)*F7/60</f>
        <v>5.9111111111111088</v>
      </c>
      <c r="K7" s="132" t="s">
        <v>218</v>
      </c>
      <c r="L7" s="133">
        <f>L6*0.88</f>
        <v>382.8</v>
      </c>
    </row>
    <row r="8" spans="1:13">
      <c r="A8" s="251"/>
      <c r="B8" s="252"/>
      <c r="C8" s="92" t="s">
        <v>188</v>
      </c>
      <c r="D8" s="101"/>
      <c r="E8" s="93">
        <f>SUM(H82)</f>
        <v>24</v>
      </c>
      <c r="F8" s="126">
        <f>1/2</f>
        <v>0.5</v>
      </c>
      <c r="G8" s="93">
        <f t="shared" si="0"/>
        <v>0.2</v>
      </c>
      <c r="H8" s="118">
        <v>0</v>
      </c>
      <c r="I8" s="102"/>
    </row>
    <row r="9" spans="1:13">
      <c r="A9" s="91" t="s">
        <v>190</v>
      </c>
      <c r="B9" s="86" t="s">
        <v>191</v>
      </c>
      <c r="C9" s="86"/>
      <c r="D9" s="63"/>
      <c r="E9" s="67">
        <f>SUM(H36:H42)</f>
        <v>5800</v>
      </c>
      <c r="F9" s="67">
        <v>1</v>
      </c>
      <c r="G9" s="67">
        <f>E9*F9/60</f>
        <v>96.666666666666671</v>
      </c>
      <c r="H9" s="67">
        <f>E9*F9/60</f>
        <v>96.666666666666671</v>
      </c>
      <c r="I9" s="90">
        <f>E9*F9/60*2-30</f>
        <v>163.33333333333334</v>
      </c>
    </row>
    <row r="10" spans="1:13" ht="14.5" thickBot="1">
      <c r="A10" s="111" t="s">
        <v>181</v>
      </c>
      <c r="B10" s="112"/>
      <c r="C10" s="112"/>
      <c r="D10" s="113"/>
      <c r="E10" s="112"/>
      <c r="F10" s="114"/>
      <c r="G10" s="114">
        <f>SUM(G2:G9)</f>
        <v>423.99999999999994</v>
      </c>
      <c r="H10" s="114">
        <f>SUM(H2:H9)</f>
        <v>397.05555555555549</v>
      </c>
      <c r="I10" s="115">
        <f>SUM(I2:I9)</f>
        <v>443.8555555555555</v>
      </c>
    </row>
    <row r="11" spans="1:13" ht="14.5" customHeight="1">
      <c r="A11" s="259" t="s">
        <v>246</v>
      </c>
      <c r="B11" s="260"/>
      <c r="C11" s="147"/>
      <c r="D11" s="148"/>
      <c r="E11" s="149"/>
      <c r="F11" s="149"/>
      <c r="G11" s="149">
        <f>G2+G4+G6+G7+G9</f>
        <v>293.02222222222218</v>
      </c>
      <c r="H11" s="149">
        <f>H2+H4+H6+H7+H9</f>
        <v>266.27777777777777</v>
      </c>
      <c r="I11" s="149">
        <f t="shared" ref="I11" si="1">I2+I4+I6+I7+I9</f>
        <v>443.8555555555555</v>
      </c>
    </row>
    <row r="12" spans="1:13" ht="14.5" customHeight="1" thickBot="1">
      <c r="A12" s="259" t="s">
        <v>247</v>
      </c>
      <c r="B12" s="260"/>
      <c r="C12" s="147"/>
      <c r="D12" s="148"/>
      <c r="E12" s="149"/>
      <c r="F12" s="149"/>
      <c r="G12" s="149">
        <f>G3+G5+G8</f>
        <v>130.97777777777776</v>
      </c>
      <c r="H12" s="149">
        <f t="shared" ref="H12:I12" si="2">H3+H5+H8</f>
        <v>130.77777777777777</v>
      </c>
      <c r="I12" s="149">
        <f t="shared" si="2"/>
        <v>0</v>
      </c>
    </row>
    <row r="13" spans="1:13" ht="14.5" thickBot="1">
      <c r="A13" s="150" t="s">
        <v>182</v>
      </c>
      <c r="B13" s="151" t="s">
        <v>183</v>
      </c>
      <c r="C13" s="151" t="s">
        <v>184</v>
      </c>
      <c r="D13" s="152" t="s">
        <v>138</v>
      </c>
      <c r="E13" s="151" t="s">
        <v>143</v>
      </c>
      <c r="F13" s="151" t="s">
        <v>222</v>
      </c>
      <c r="G13" s="151" t="s">
        <v>185</v>
      </c>
      <c r="H13" s="160" t="s">
        <v>232</v>
      </c>
      <c r="I13" s="153"/>
    </row>
    <row r="14" spans="1:13">
      <c r="A14" s="253" t="s">
        <v>144</v>
      </c>
      <c r="B14" s="57" t="s">
        <v>3</v>
      </c>
      <c r="C14" s="261" t="s">
        <v>192</v>
      </c>
      <c r="D14" s="262" t="s">
        <v>172</v>
      </c>
      <c r="E14" s="56" t="s">
        <v>139</v>
      </c>
      <c r="F14" s="127">
        <v>120</v>
      </c>
      <c r="G14" s="80">
        <v>2</v>
      </c>
      <c r="H14" s="161">
        <f>F14*G14</f>
        <v>240</v>
      </c>
      <c r="I14" s="107"/>
      <c r="L14" s="64"/>
    </row>
    <row r="15" spans="1:13">
      <c r="A15" s="254"/>
      <c r="B15" s="53" t="s">
        <v>4</v>
      </c>
      <c r="C15" s="257"/>
      <c r="D15" s="249"/>
      <c r="E15" s="52" t="s">
        <v>139</v>
      </c>
      <c r="F15" s="68">
        <v>120</v>
      </c>
      <c r="G15" s="77">
        <v>2</v>
      </c>
      <c r="H15" s="162">
        <f t="shared" ref="H15:H82" si="3">F15*G15</f>
        <v>240</v>
      </c>
      <c r="I15" s="104"/>
      <c r="L15" s="64"/>
    </row>
    <row r="16" spans="1:13">
      <c r="A16" s="254"/>
      <c r="B16" s="53" t="s">
        <v>5</v>
      </c>
      <c r="C16" s="257"/>
      <c r="D16" s="250"/>
      <c r="E16" s="52" t="s">
        <v>139</v>
      </c>
      <c r="F16" s="69">
        <v>300</v>
      </c>
      <c r="G16" s="77">
        <v>2</v>
      </c>
      <c r="H16" s="162">
        <f t="shared" si="3"/>
        <v>600</v>
      </c>
      <c r="I16" s="104"/>
      <c r="L16" s="64"/>
    </row>
    <row r="17" spans="1:12">
      <c r="A17" s="254"/>
      <c r="B17" s="53" t="s">
        <v>3</v>
      </c>
      <c r="C17" s="257"/>
      <c r="D17" s="248" t="s">
        <v>173</v>
      </c>
      <c r="E17" s="52" t="s">
        <v>139</v>
      </c>
      <c r="F17" s="69">
        <v>60</v>
      </c>
      <c r="G17" s="77">
        <v>4</v>
      </c>
      <c r="H17" s="162">
        <f t="shared" si="3"/>
        <v>240</v>
      </c>
      <c r="I17" s="104"/>
      <c r="L17" s="64"/>
    </row>
    <row r="18" spans="1:12">
      <c r="A18" s="254"/>
      <c r="B18" s="53" t="s">
        <v>4</v>
      </c>
      <c r="C18" s="257"/>
      <c r="D18" s="249"/>
      <c r="E18" s="52" t="s">
        <v>139</v>
      </c>
      <c r="F18" s="69">
        <v>60</v>
      </c>
      <c r="G18" s="77">
        <v>4</v>
      </c>
      <c r="H18" s="162">
        <f t="shared" si="3"/>
        <v>240</v>
      </c>
      <c r="I18" s="104"/>
    </row>
    <row r="19" spans="1:12">
      <c r="A19" s="254"/>
      <c r="B19" s="53" t="s">
        <v>5</v>
      </c>
      <c r="C19" s="257"/>
      <c r="D19" s="250"/>
      <c r="E19" s="52" t="s">
        <v>139</v>
      </c>
      <c r="F19" s="69">
        <v>60</v>
      </c>
      <c r="G19" s="77">
        <v>4</v>
      </c>
      <c r="H19" s="162">
        <f t="shared" si="3"/>
        <v>240</v>
      </c>
      <c r="I19" s="104"/>
    </row>
    <row r="20" spans="1:12">
      <c r="A20" s="254"/>
      <c r="B20" s="53" t="s">
        <v>169</v>
      </c>
      <c r="C20" s="257"/>
      <c r="D20" s="144" t="s">
        <v>134</v>
      </c>
      <c r="E20" s="52" t="s">
        <v>141</v>
      </c>
      <c r="F20" s="69">
        <v>600</v>
      </c>
      <c r="G20" s="77">
        <v>1</v>
      </c>
      <c r="H20" s="162">
        <f t="shared" si="3"/>
        <v>600</v>
      </c>
      <c r="I20" s="104"/>
    </row>
    <row r="21" spans="1:12">
      <c r="A21" s="254"/>
      <c r="B21" s="157" t="s">
        <v>248</v>
      </c>
      <c r="C21" s="257"/>
      <c r="D21" s="158" t="s">
        <v>251</v>
      </c>
      <c r="E21" s="52" t="s">
        <v>250</v>
      </c>
      <c r="F21" s="69">
        <v>1320</v>
      </c>
      <c r="G21" s="77">
        <v>0.2</v>
      </c>
      <c r="H21" s="162">
        <f t="shared" si="3"/>
        <v>264</v>
      </c>
      <c r="I21" s="104"/>
    </row>
    <row r="22" spans="1:12">
      <c r="A22" s="254"/>
      <c r="B22" s="157" t="s">
        <v>249</v>
      </c>
      <c r="C22" s="258"/>
      <c r="D22" s="158" t="s">
        <v>251</v>
      </c>
      <c r="E22" s="52" t="s">
        <v>250</v>
      </c>
      <c r="F22" s="69">
        <v>1680</v>
      </c>
      <c r="G22" s="77">
        <v>0.2</v>
      </c>
      <c r="H22" s="162">
        <f t="shared" si="3"/>
        <v>336</v>
      </c>
      <c r="I22" s="104"/>
    </row>
    <row r="23" spans="1:12">
      <c r="A23" s="254"/>
      <c r="B23" s="53" t="s">
        <v>3</v>
      </c>
      <c r="C23" s="256" t="s">
        <v>189</v>
      </c>
      <c r="D23" s="248" t="s">
        <v>135</v>
      </c>
      <c r="E23" s="52" t="s">
        <v>139</v>
      </c>
      <c r="F23" s="69">
        <v>120</v>
      </c>
      <c r="G23" s="77">
        <v>1</v>
      </c>
      <c r="H23" s="162">
        <f t="shared" si="3"/>
        <v>120</v>
      </c>
      <c r="I23" s="104"/>
    </row>
    <row r="24" spans="1:12">
      <c r="A24" s="254"/>
      <c r="B24" s="53" t="s">
        <v>4</v>
      </c>
      <c r="C24" s="257"/>
      <c r="D24" s="250"/>
      <c r="E24" s="52" t="s">
        <v>139</v>
      </c>
      <c r="F24" s="69">
        <v>180</v>
      </c>
      <c r="G24" s="77">
        <v>1</v>
      </c>
      <c r="H24" s="162">
        <f t="shared" si="3"/>
        <v>180</v>
      </c>
      <c r="I24" s="104"/>
    </row>
    <row r="25" spans="1:12">
      <c r="A25" s="254"/>
      <c r="B25" s="53" t="s">
        <v>3</v>
      </c>
      <c r="C25" s="257"/>
      <c r="D25" s="248" t="s">
        <v>174</v>
      </c>
      <c r="E25" s="52" t="s">
        <v>140</v>
      </c>
      <c r="F25" s="69">
        <v>100</v>
      </c>
      <c r="G25" s="77">
        <v>4</v>
      </c>
      <c r="H25" s="162">
        <f t="shared" si="3"/>
        <v>400</v>
      </c>
      <c r="I25" s="104"/>
    </row>
    <row r="26" spans="1:12">
      <c r="A26" s="254"/>
      <c r="B26" s="53" t="s">
        <v>4</v>
      </c>
      <c r="C26" s="257"/>
      <c r="D26" s="249"/>
      <c r="E26" s="52" t="s">
        <v>140</v>
      </c>
      <c r="F26" s="69">
        <v>100</v>
      </c>
      <c r="G26" s="77">
        <v>4</v>
      </c>
      <c r="H26" s="162">
        <f t="shared" si="3"/>
        <v>400</v>
      </c>
      <c r="I26" s="104"/>
    </row>
    <row r="27" spans="1:12">
      <c r="A27" s="254"/>
      <c r="B27" s="53" t="s">
        <v>5</v>
      </c>
      <c r="C27" s="258"/>
      <c r="D27" s="250"/>
      <c r="E27" s="52" t="s">
        <v>140</v>
      </c>
      <c r="F27" s="69">
        <v>150</v>
      </c>
      <c r="G27" s="77">
        <v>4</v>
      </c>
      <c r="H27" s="162">
        <f t="shared" si="3"/>
        <v>600</v>
      </c>
      <c r="I27" s="104"/>
    </row>
    <row r="28" spans="1:12">
      <c r="A28" s="254"/>
      <c r="B28" s="65" t="s">
        <v>4</v>
      </c>
      <c r="C28" s="65" t="s">
        <v>193</v>
      </c>
      <c r="D28" s="247" t="s">
        <v>175</v>
      </c>
      <c r="E28" s="66" t="s">
        <v>142</v>
      </c>
      <c r="F28" s="70">
        <v>100</v>
      </c>
      <c r="G28" s="78">
        <v>4</v>
      </c>
      <c r="H28" s="163">
        <f>F28*G28</f>
        <v>400</v>
      </c>
      <c r="I28" s="105"/>
    </row>
    <row r="29" spans="1:12">
      <c r="A29" s="254"/>
      <c r="B29" s="65" t="s">
        <v>4</v>
      </c>
      <c r="C29" s="65"/>
      <c r="D29" s="247"/>
      <c r="E29" s="66" t="s">
        <v>141</v>
      </c>
      <c r="F29" s="70">
        <v>150</v>
      </c>
      <c r="G29" s="78">
        <v>3</v>
      </c>
      <c r="H29" s="163">
        <f t="shared" si="3"/>
        <v>450</v>
      </c>
      <c r="I29" s="105"/>
    </row>
    <row r="30" spans="1:12">
      <c r="A30" s="254"/>
      <c r="B30" s="65" t="s">
        <v>5</v>
      </c>
      <c r="C30" s="65"/>
      <c r="D30" s="247"/>
      <c r="E30" s="66" t="s">
        <v>142</v>
      </c>
      <c r="F30" s="70">
        <v>140</v>
      </c>
      <c r="G30" s="78">
        <v>3</v>
      </c>
      <c r="H30" s="163">
        <f t="shared" si="3"/>
        <v>420</v>
      </c>
      <c r="I30" s="105"/>
    </row>
    <row r="31" spans="1:12" ht="16.5">
      <c r="A31" s="254"/>
      <c r="B31" s="65" t="s">
        <v>252</v>
      </c>
      <c r="C31" s="65"/>
      <c r="D31" s="247" t="s">
        <v>176</v>
      </c>
      <c r="E31" s="66" t="s">
        <v>141</v>
      </c>
      <c r="F31" s="70">
        <v>360</v>
      </c>
      <c r="G31" s="78">
        <v>1</v>
      </c>
      <c r="H31" s="163">
        <f t="shared" ref="H31" si="4">F31*G31</f>
        <v>360</v>
      </c>
      <c r="I31" s="105"/>
    </row>
    <row r="32" spans="1:12">
      <c r="A32" s="254"/>
      <c r="B32" s="65" t="s">
        <v>242</v>
      </c>
      <c r="C32" s="65"/>
      <c r="D32" s="247"/>
      <c r="E32" s="66" t="s">
        <v>253</v>
      </c>
      <c r="F32" s="135">
        <v>600</v>
      </c>
      <c r="G32" s="78">
        <v>1</v>
      </c>
      <c r="H32" s="163">
        <f>F32*G32</f>
        <v>600</v>
      </c>
      <c r="I32" s="105"/>
    </row>
    <row r="33" spans="1:9">
      <c r="A33" s="254"/>
      <c r="B33" s="65" t="s">
        <v>4</v>
      </c>
      <c r="C33" s="65"/>
      <c r="D33" s="247"/>
      <c r="E33" s="66" t="s">
        <v>141</v>
      </c>
      <c r="F33" s="70">
        <v>540</v>
      </c>
      <c r="G33" s="78">
        <v>1</v>
      </c>
      <c r="H33" s="163">
        <f t="shared" ref="H33" si="5">F33*G33</f>
        <v>540</v>
      </c>
      <c r="I33" s="105"/>
    </row>
    <row r="34" spans="1:9" ht="13.75" customHeight="1">
      <c r="A34" s="254"/>
      <c r="B34" s="65" t="s">
        <v>243</v>
      </c>
      <c r="C34" s="65"/>
      <c r="D34" s="247"/>
      <c r="E34" s="66" t="s">
        <v>254</v>
      </c>
      <c r="F34" s="135">
        <v>720</v>
      </c>
      <c r="G34" s="78">
        <v>1</v>
      </c>
      <c r="H34" s="163">
        <f>F34*G34</f>
        <v>720</v>
      </c>
      <c r="I34" s="105"/>
    </row>
    <row r="35" spans="1:9" ht="14.5" thickBot="1">
      <c r="A35" s="255"/>
      <c r="B35" s="155" t="s">
        <v>5</v>
      </c>
      <c r="C35" s="155"/>
      <c r="D35" s="96" t="s">
        <v>244</v>
      </c>
      <c r="E35" s="97" t="s">
        <v>198</v>
      </c>
      <c r="F35" s="98">
        <v>800</v>
      </c>
      <c r="G35" s="156">
        <v>0.5</v>
      </c>
      <c r="H35" s="164">
        <f t="shared" si="3"/>
        <v>400</v>
      </c>
      <c r="I35" s="108"/>
    </row>
    <row r="36" spans="1:9" ht="43">
      <c r="A36" s="279" t="s">
        <v>171</v>
      </c>
      <c r="B36" s="154" t="s">
        <v>5</v>
      </c>
      <c r="C36" s="257"/>
      <c r="D36" s="146" t="s">
        <v>245</v>
      </c>
      <c r="E36" s="145" t="s">
        <v>167</v>
      </c>
      <c r="F36" s="75">
        <v>1100</v>
      </c>
      <c r="G36" s="76">
        <v>1</v>
      </c>
      <c r="H36" s="165">
        <f t="shared" si="3"/>
        <v>1100</v>
      </c>
      <c r="I36" s="103"/>
    </row>
    <row r="37" spans="1:9">
      <c r="A37" s="254"/>
      <c r="B37" s="140" t="s">
        <v>168</v>
      </c>
      <c r="C37" s="257"/>
      <c r="D37" s="169" t="s">
        <v>256</v>
      </c>
      <c r="E37" s="52"/>
      <c r="F37" s="69">
        <v>300</v>
      </c>
      <c r="G37" s="77">
        <v>1</v>
      </c>
      <c r="H37" s="162">
        <f t="shared" si="3"/>
        <v>300</v>
      </c>
      <c r="I37" s="104"/>
    </row>
    <row r="38" spans="1:9">
      <c r="A38" s="254"/>
      <c r="B38" s="141" t="s">
        <v>166</v>
      </c>
      <c r="C38" s="257"/>
      <c r="D38" s="169" t="s">
        <v>256</v>
      </c>
      <c r="E38" s="84"/>
      <c r="F38" s="119">
        <v>300</v>
      </c>
      <c r="G38" s="120">
        <v>1</v>
      </c>
      <c r="H38" s="166">
        <f t="shared" si="3"/>
        <v>300</v>
      </c>
      <c r="I38" s="121"/>
    </row>
    <row r="39" spans="1:9" ht="14.5">
      <c r="A39" s="254"/>
      <c r="B39" s="141" t="s">
        <v>220</v>
      </c>
      <c r="C39" s="257"/>
      <c r="D39" s="169" t="s">
        <v>257</v>
      </c>
      <c r="E39" s="84"/>
      <c r="F39" s="119">
        <v>1800</v>
      </c>
      <c r="G39" s="120">
        <v>1</v>
      </c>
      <c r="H39" s="166">
        <f t="shared" si="3"/>
        <v>1800</v>
      </c>
      <c r="I39" s="121"/>
    </row>
    <row r="40" spans="1:9" ht="14.5">
      <c r="A40" s="254"/>
      <c r="B40" s="142" t="s">
        <v>237</v>
      </c>
      <c r="C40" s="257"/>
      <c r="D40" s="144" t="s">
        <v>239</v>
      </c>
      <c r="E40" s="84"/>
      <c r="F40" s="119">
        <v>600</v>
      </c>
      <c r="G40" s="120">
        <v>1</v>
      </c>
      <c r="H40" s="166">
        <f t="shared" si="3"/>
        <v>600</v>
      </c>
      <c r="I40" s="121"/>
    </row>
    <row r="41" spans="1:9">
      <c r="A41" s="254"/>
      <c r="B41" s="142" t="s">
        <v>241</v>
      </c>
      <c r="C41" s="257"/>
      <c r="D41" s="138" t="s">
        <v>240</v>
      </c>
      <c r="E41" s="84"/>
      <c r="F41" s="119">
        <v>600</v>
      </c>
      <c r="G41" s="139">
        <f>1/3</f>
        <v>0.33333333333333331</v>
      </c>
      <c r="H41" s="166">
        <f t="shared" si="3"/>
        <v>200</v>
      </c>
      <c r="I41" s="121"/>
    </row>
    <row r="42" spans="1:9" ht="14.5" thickBot="1">
      <c r="A42" s="255"/>
      <c r="B42" s="143" t="s">
        <v>233</v>
      </c>
      <c r="C42" s="263"/>
      <c r="D42" s="124" t="s">
        <v>234</v>
      </c>
      <c r="E42" s="54"/>
      <c r="F42" s="71">
        <v>1500</v>
      </c>
      <c r="G42" s="79">
        <v>1</v>
      </c>
      <c r="H42" s="167">
        <f t="shared" si="3"/>
        <v>1500</v>
      </c>
      <c r="I42" s="106"/>
    </row>
    <row r="43" spans="1:9" ht="28">
      <c r="A43" s="264" t="s">
        <v>145</v>
      </c>
      <c r="B43" s="266" t="s">
        <v>145</v>
      </c>
      <c r="C43" s="271" t="s">
        <v>189</v>
      </c>
      <c r="D43" s="58" t="s">
        <v>147</v>
      </c>
      <c r="E43" s="56" t="s">
        <v>148</v>
      </c>
      <c r="F43" s="72">
        <v>480</v>
      </c>
      <c r="G43" s="81">
        <f>1/3</f>
        <v>0.33333333333333331</v>
      </c>
      <c r="H43" s="72">
        <f t="shared" si="3"/>
        <v>160</v>
      </c>
      <c r="I43" s="107"/>
    </row>
    <row r="44" spans="1:9" ht="28">
      <c r="A44" s="265"/>
      <c r="B44" s="267"/>
      <c r="C44" s="272"/>
      <c r="D44" s="60" t="s">
        <v>149</v>
      </c>
      <c r="E44" s="52" t="s">
        <v>148</v>
      </c>
      <c r="F44" s="74">
        <v>120</v>
      </c>
      <c r="G44" s="82">
        <f t="shared" ref="G44:G48" si="6">1/3</f>
        <v>0.33333333333333331</v>
      </c>
      <c r="H44" s="74">
        <f t="shared" si="3"/>
        <v>40</v>
      </c>
      <c r="I44" s="104"/>
    </row>
    <row r="45" spans="1:9">
      <c r="A45" s="265"/>
      <c r="B45" s="267"/>
      <c r="C45" s="272"/>
      <c r="D45" s="60" t="s">
        <v>150</v>
      </c>
      <c r="E45" s="52" t="s">
        <v>148</v>
      </c>
      <c r="F45" s="74">
        <v>120</v>
      </c>
      <c r="G45" s="82">
        <f t="shared" si="6"/>
        <v>0.33333333333333331</v>
      </c>
      <c r="H45" s="74">
        <f t="shared" si="3"/>
        <v>40</v>
      </c>
      <c r="I45" s="104"/>
    </row>
    <row r="46" spans="1:9">
      <c r="A46" s="265"/>
      <c r="B46" s="267"/>
      <c r="C46" s="272"/>
      <c r="D46" s="60" t="s">
        <v>151</v>
      </c>
      <c r="E46" s="52" t="s">
        <v>148</v>
      </c>
      <c r="F46" s="74">
        <v>120</v>
      </c>
      <c r="G46" s="82">
        <f t="shared" si="6"/>
        <v>0.33333333333333331</v>
      </c>
      <c r="H46" s="74">
        <f t="shared" si="3"/>
        <v>40</v>
      </c>
      <c r="I46" s="104"/>
    </row>
    <row r="47" spans="1:9" ht="28.5">
      <c r="A47" s="265"/>
      <c r="B47" s="267"/>
      <c r="C47" s="272"/>
      <c r="D47" s="60" t="s">
        <v>219</v>
      </c>
      <c r="E47" s="52" t="s">
        <v>152</v>
      </c>
      <c r="F47" s="74">
        <v>120</v>
      </c>
      <c r="G47" s="82">
        <f t="shared" si="6"/>
        <v>0.33333333333333331</v>
      </c>
      <c r="H47" s="74">
        <f t="shared" si="3"/>
        <v>40</v>
      </c>
      <c r="I47" s="104"/>
    </row>
    <row r="48" spans="1:9">
      <c r="A48" s="265"/>
      <c r="B48" s="267"/>
      <c r="C48" s="272"/>
      <c r="D48" s="60" t="s">
        <v>153</v>
      </c>
      <c r="E48" s="52" t="s">
        <v>152</v>
      </c>
      <c r="F48" s="74">
        <v>120</v>
      </c>
      <c r="G48" s="82">
        <f t="shared" si="6"/>
        <v>0.33333333333333331</v>
      </c>
      <c r="H48" s="74">
        <f t="shared" si="3"/>
        <v>40</v>
      </c>
      <c r="I48" s="104"/>
    </row>
    <row r="49" spans="1:9" ht="42.5">
      <c r="A49" s="265"/>
      <c r="B49" s="267"/>
      <c r="C49" s="272"/>
      <c r="D49" s="60" t="s">
        <v>194</v>
      </c>
      <c r="E49" s="52" t="s">
        <v>154</v>
      </c>
      <c r="F49" s="74">
        <v>500</v>
      </c>
      <c r="G49" s="82">
        <f>1/15</f>
        <v>6.6666666666666666E-2</v>
      </c>
      <c r="H49" s="74">
        <f t="shared" si="3"/>
        <v>33.333333333333336</v>
      </c>
      <c r="I49" s="104"/>
    </row>
    <row r="50" spans="1:9" ht="14.5">
      <c r="A50" s="265"/>
      <c r="B50" s="267"/>
      <c r="C50" s="272"/>
      <c r="D50" s="60" t="s">
        <v>155</v>
      </c>
      <c r="E50" s="52" t="s">
        <v>156</v>
      </c>
      <c r="F50" s="74">
        <v>900</v>
      </c>
      <c r="G50" s="82">
        <f t="shared" ref="G50:G61" si="7">1/15</f>
        <v>6.6666666666666666E-2</v>
      </c>
      <c r="H50" s="74">
        <f t="shared" si="3"/>
        <v>60</v>
      </c>
      <c r="I50" s="104"/>
    </row>
    <row r="51" spans="1:9" ht="28">
      <c r="A51" s="265"/>
      <c r="B51" s="267"/>
      <c r="C51" s="272"/>
      <c r="D51" s="60" t="s">
        <v>195</v>
      </c>
      <c r="E51" s="52" t="s">
        <v>156</v>
      </c>
      <c r="F51" s="74">
        <v>900</v>
      </c>
      <c r="G51" s="82">
        <f t="shared" si="7"/>
        <v>6.6666666666666666E-2</v>
      </c>
      <c r="H51" s="74">
        <f t="shared" si="3"/>
        <v>60</v>
      </c>
      <c r="I51" s="104"/>
    </row>
    <row r="52" spans="1:9">
      <c r="A52" s="265"/>
      <c r="B52" s="267"/>
      <c r="C52" s="272"/>
      <c r="D52" s="60" t="s">
        <v>177</v>
      </c>
      <c r="E52" s="52" t="s">
        <v>156</v>
      </c>
      <c r="F52" s="74">
        <v>900</v>
      </c>
      <c r="G52" s="82">
        <f t="shared" si="7"/>
        <v>6.6666666666666666E-2</v>
      </c>
      <c r="H52" s="74">
        <f t="shared" si="3"/>
        <v>60</v>
      </c>
      <c r="I52" s="104"/>
    </row>
    <row r="53" spans="1:9" ht="28.5">
      <c r="A53" s="265"/>
      <c r="B53" s="267"/>
      <c r="C53" s="272"/>
      <c r="D53" s="60" t="s">
        <v>157</v>
      </c>
      <c r="E53" s="52" t="s">
        <v>156</v>
      </c>
      <c r="F53" s="74">
        <v>900</v>
      </c>
      <c r="G53" s="82">
        <f t="shared" si="7"/>
        <v>6.6666666666666666E-2</v>
      </c>
      <c r="H53" s="74">
        <f t="shared" si="3"/>
        <v>60</v>
      </c>
      <c r="I53" s="104"/>
    </row>
    <row r="54" spans="1:9">
      <c r="A54" s="265"/>
      <c r="B54" s="267"/>
      <c r="C54" s="272"/>
      <c r="D54" s="60" t="s">
        <v>158</v>
      </c>
      <c r="E54" s="52" t="s">
        <v>156</v>
      </c>
      <c r="F54" s="74">
        <v>900</v>
      </c>
      <c r="G54" s="82">
        <f t="shared" si="7"/>
        <v>6.6666666666666666E-2</v>
      </c>
      <c r="H54" s="74">
        <f t="shared" si="3"/>
        <v>60</v>
      </c>
      <c r="I54" s="104"/>
    </row>
    <row r="55" spans="1:9" ht="28">
      <c r="A55" s="265"/>
      <c r="B55" s="267"/>
      <c r="C55" s="272"/>
      <c r="D55" s="60" t="s">
        <v>159</v>
      </c>
      <c r="E55" s="52" t="s">
        <v>156</v>
      </c>
      <c r="F55" s="74">
        <v>300</v>
      </c>
      <c r="G55" s="82">
        <f t="shared" si="7"/>
        <v>6.6666666666666666E-2</v>
      </c>
      <c r="H55" s="74">
        <f t="shared" si="3"/>
        <v>20</v>
      </c>
      <c r="I55" s="104"/>
    </row>
    <row r="56" spans="1:9" ht="56.5">
      <c r="A56" s="265"/>
      <c r="B56" s="267"/>
      <c r="C56" s="272"/>
      <c r="D56" s="60" t="s">
        <v>196</v>
      </c>
      <c r="E56" s="52" t="s">
        <v>156</v>
      </c>
      <c r="F56" s="74">
        <v>900</v>
      </c>
      <c r="G56" s="82">
        <f t="shared" si="7"/>
        <v>6.6666666666666666E-2</v>
      </c>
      <c r="H56" s="74">
        <f t="shared" si="3"/>
        <v>60</v>
      </c>
      <c r="I56" s="104"/>
    </row>
    <row r="57" spans="1:9" ht="28">
      <c r="A57" s="265"/>
      <c r="B57" s="267"/>
      <c r="C57" s="272"/>
      <c r="D57" s="60" t="s">
        <v>178</v>
      </c>
      <c r="E57" s="52" t="s">
        <v>156</v>
      </c>
      <c r="F57" s="74">
        <v>600</v>
      </c>
      <c r="G57" s="82">
        <f t="shared" si="7"/>
        <v>6.6666666666666666E-2</v>
      </c>
      <c r="H57" s="74">
        <f t="shared" si="3"/>
        <v>40</v>
      </c>
      <c r="I57" s="104"/>
    </row>
    <row r="58" spans="1:9" ht="28.5" thickBot="1">
      <c r="A58" s="265"/>
      <c r="B58" s="267"/>
      <c r="C58" s="275"/>
      <c r="D58" s="61" t="s">
        <v>231</v>
      </c>
      <c r="E58" s="54" t="s">
        <v>156</v>
      </c>
      <c r="F58" s="73">
        <v>600</v>
      </c>
      <c r="G58" s="83">
        <f t="shared" si="7"/>
        <v>6.6666666666666666E-2</v>
      </c>
      <c r="H58" s="73">
        <f t="shared" si="3"/>
        <v>40</v>
      </c>
      <c r="I58" s="106"/>
    </row>
    <row r="59" spans="1:9" ht="28">
      <c r="A59" s="265"/>
      <c r="B59" s="268" t="s">
        <v>146</v>
      </c>
      <c r="C59" s="276" t="s">
        <v>193</v>
      </c>
      <c r="D59" s="110" t="s">
        <v>160</v>
      </c>
      <c r="E59" s="128" t="s">
        <v>161</v>
      </c>
      <c r="F59" s="129">
        <v>200</v>
      </c>
      <c r="G59" s="130">
        <f t="shared" si="7"/>
        <v>6.6666666666666666E-2</v>
      </c>
      <c r="H59" s="129">
        <f t="shared" si="3"/>
        <v>13.333333333333334</v>
      </c>
      <c r="I59" s="131"/>
    </row>
    <row r="60" spans="1:9">
      <c r="A60" s="265"/>
      <c r="B60" s="269"/>
      <c r="C60" s="277"/>
      <c r="D60" s="94" t="s">
        <v>162</v>
      </c>
      <c r="E60" s="66" t="s">
        <v>154</v>
      </c>
      <c r="F60" s="70">
        <v>900</v>
      </c>
      <c r="G60" s="95">
        <f t="shared" si="7"/>
        <v>6.6666666666666666E-2</v>
      </c>
      <c r="H60" s="70">
        <f t="shared" si="3"/>
        <v>60</v>
      </c>
      <c r="I60" s="105"/>
    </row>
    <row r="61" spans="1:9" ht="28.5" thickBot="1">
      <c r="A61" s="265"/>
      <c r="B61" s="270"/>
      <c r="C61" s="278"/>
      <c r="D61" s="96" t="s">
        <v>163</v>
      </c>
      <c r="E61" s="97" t="s">
        <v>154</v>
      </c>
      <c r="F61" s="98">
        <v>900</v>
      </c>
      <c r="G61" s="99">
        <f t="shared" si="7"/>
        <v>6.6666666666666666E-2</v>
      </c>
      <c r="H61" s="98">
        <f t="shared" si="3"/>
        <v>60</v>
      </c>
      <c r="I61" s="108"/>
    </row>
    <row r="62" spans="1:9" ht="57">
      <c r="A62" s="271" t="s">
        <v>19</v>
      </c>
      <c r="B62" s="273" t="s">
        <v>19</v>
      </c>
      <c r="C62" s="261" t="s">
        <v>189</v>
      </c>
      <c r="D62" s="55" t="s">
        <v>179</v>
      </c>
      <c r="E62" s="56" t="s">
        <v>197</v>
      </c>
      <c r="F62" s="136">
        <v>1200</v>
      </c>
      <c r="G62" s="80">
        <v>0.5</v>
      </c>
      <c r="H62" s="72">
        <f t="shared" si="3"/>
        <v>600</v>
      </c>
      <c r="I62" s="107"/>
    </row>
    <row r="63" spans="1:9" ht="29.5" thickBot="1">
      <c r="A63" s="272"/>
      <c r="B63" s="274"/>
      <c r="C63" s="263"/>
      <c r="D63" s="59" t="s">
        <v>180</v>
      </c>
      <c r="E63" s="52" t="s">
        <v>197</v>
      </c>
      <c r="F63" s="74">
        <v>500</v>
      </c>
      <c r="G63" s="77">
        <v>0.5</v>
      </c>
      <c r="H63" s="74">
        <f t="shared" si="3"/>
        <v>250</v>
      </c>
      <c r="I63" s="104"/>
    </row>
    <row r="64" spans="1:9" ht="14.5">
      <c r="A64" s="253" t="s">
        <v>165</v>
      </c>
      <c r="B64" s="261" t="s">
        <v>165</v>
      </c>
      <c r="C64" s="56" t="s">
        <v>189</v>
      </c>
      <c r="D64" s="55" t="s">
        <v>170</v>
      </c>
      <c r="E64" s="56" t="s">
        <v>164</v>
      </c>
      <c r="F64" s="72">
        <v>1500</v>
      </c>
      <c r="G64" s="80">
        <v>1</v>
      </c>
      <c r="H64" s="72">
        <f t="shared" si="3"/>
        <v>1500</v>
      </c>
      <c r="I64" s="107"/>
    </row>
    <row r="65" spans="1:9" ht="28">
      <c r="A65" s="254"/>
      <c r="B65" s="257"/>
      <c r="C65" s="52" t="s">
        <v>189</v>
      </c>
      <c r="D65" s="137" t="s">
        <v>235</v>
      </c>
      <c r="E65" s="52" t="s">
        <v>236</v>
      </c>
      <c r="F65" s="74">
        <v>500</v>
      </c>
      <c r="G65" s="77">
        <v>1</v>
      </c>
      <c r="H65" s="74">
        <f t="shared" si="3"/>
        <v>500</v>
      </c>
      <c r="I65" s="104"/>
    </row>
    <row r="66" spans="1:9">
      <c r="A66" s="254"/>
      <c r="B66" s="257"/>
      <c r="C66" s="52" t="s">
        <v>189</v>
      </c>
      <c r="D66" s="60" t="s">
        <v>199</v>
      </c>
      <c r="E66" s="256" t="s">
        <v>200</v>
      </c>
      <c r="F66" s="69">
        <v>30</v>
      </c>
      <c r="G66" s="82">
        <f t="shared" ref="G66:G82" si="8">1/15</f>
        <v>6.6666666666666666E-2</v>
      </c>
      <c r="H66" s="69">
        <f t="shared" si="3"/>
        <v>2</v>
      </c>
      <c r="I66" s="104"/>
    </row>
    <row r="67" spans="1:9" ht="28">
      <c r="A67" s="254"/>
      <c r="B67" s="257"/>
      <c r="C67" s="52" t="s">
        <v>189</v>
      </c>
      <c r="D67" s="60" t="s">
        <v>201</v>
      </c>
      <c r="E67" s="257"/>
      <c r="F67" s="69">
        <v>30</v>
      </c>
      <c r="G67" s="82">
        <f t="shared" si="8"/>
        <v>6.6666666666666666E-2</v>
      </c>
      <c r="H67" s="69">
        <f t="shared" si="3"/>
        <v>2</v>
      </c>
      <c r="I67" s="104"/>
    </row>
    <row r="68" spans="1:9">
      <c r="A68" s="254"/>
      <c r="B68" s="257"/>
      <c r="C68" s="52" t="s">
        <v>189</v>
      </c>
      <c r="D68" s="60" t="s">
        <v>202</v>
      </c>
      <c r="E68" s="257"/>
      <c r="F68" s="69">
        <v>30</v>
      </c>
      <c r="G68" s="82">
        <f t="shared" si="8"/>
        <v>6.6666666666666666E-2</v>
      </c>
      <c r="H68" s="69">
        <f t="shared" si="3"/>
        <v>2</v>
      </c>
      <c r="I68" s="104"/>
    </row>
    <row r="69" spans="1:9">
      <c r="A69" s="254"/>
      <c r="B69" s="257"/>
      <c r="C69" s="52" t="s">
        <v>189</v>
      </c>
      <c r="D69" s="60" t="s">
        <v>203</v>
      </c>
      <c r="E69" s="257"/>
      <c r="F69" s="69">
        <v>30</v>
      </c>
      <c r="G69" s="82">
        <f t="shared" si="8"/>
        <v>6.6666666666666666E-2</v>
      </c>
      <c r="H69" s="69">
        <f t="shared" si="3"/>
        <v>2</v>
      </c>
      <c r="I69" s="104"/>
    </row>
    <row r="70" spans="1:9">
      <c r="A70" s="254"/>
      <c r="B70" s="257"/>
      <c r="C70" s="52" t="s">
        <v>189</v>
      </c>
      <c r="D70" s="60" t="s">
        <v>204</v>
      </c>
      <c r="E70" s="257"/>
      <c r="F70" s="69">
        <v>30</v>
      </c>
      <c r="G70" s="82">
        <f t="shared" si="8"/>
        <v>6.6666666666666666E-2</v>
      </c>
      <c r="H70" s="69">
        <f t="shared" si="3"/>
        <v>2</v>
      </c>
      <c r="I70" s="104"/>
    </row>
    <row r="71" spans="1:9">
      <c r="A71" s="254"/>
      <c r="B71" s="257"/>
      <c r="C71" s="52" t="s">
        <v>189</v>
      </c>
      <c r="D71" s="60" t="s">
        <v>205</v>
      </c>
      <c r="E71" s="257"/>
      <c r="F71" s="69">
        <v>120</v>
      </c>
      <c r="G71" s="82">
        <f t="shared" si="8"/>
        <v>6.6666666666666666E-2</v>
      </c>
      <c r="H71" s="69">
        <f t="shared" si="3"/>
        <v>8</v>
      </c>
      <c r="I71" s="104"/>
    </row>
    <row r="72" spans="1:9">
      <c r="A72" s="254"/>
      <c r="B72" s="257"/>
      <c r="C72" s="52" t="s">
        <v>189</v>
      </c>
      <c r="D72" s="60" t="s">
        <v>206</v>
      </c>
      <c r="E72" s="257"/>
      <c r="F72" s="69">
        <v>90</v>
      </c>
      <c r="G72" s="82">
        <v>6.6666666666666666E-2</v>
      </c>
      <c r="H72" s="69">
        <f t="shared" si="3"/>
        <v>6</v>
      </c>
      <c r="I72" s="104"/>
    </row>
    <row r="73" spans="1:9">
      <c r="A73" s="254"/>
      <c r="B73" s="257"/>
      <c r="C73" s="52" t="s">
        <v>189</v>
      </c>
      <c r="D73" s="60" t="s">
        <v>207</v>
      </c>
      <c r="E73" s="257"/>
      <c r="F73" s="69">
        <v>600</v>
      </c>
      <c r="G73" s="82">
        <v>6.6666666666666666E-2</v>
      </c>
      <c r="H73" s="69">
        <f t="shared" si="3"/>
        <v>40</v>
      </c>
      <c r="I73" s="104"/>
    </row>
    <row r="74" spans="1:9">
      <c r="A74" s="254"/>
      <c r="B74" s="257"/>
      <c r="C74" s="52" t="s">
        <v>189</v>
      </c>
      <c r="D74" s="60" t="s">
        <v>137</v>
      </c>
      <c r="E74" s="257"/>
      <c r="F74" s="69">
        <v>100</v>
      </c>
      <c r="G74" s="82">
        <v>6.6666666666666666E-2</v>
      </c>
      <c r="H74" s="69">
        <f t="shared" si="3"/>
        <v>6.666666666666667</v>
      </c>
      <c r="I74" s="104"/>
    </row>
    <row r="75" spans="1:9">
      <c r="A75" s="254"/>
      <c r="B75" s="257"/>
      <c r="C75" s="52" t="s">
        <v>189</v>
      </c>
      <c r="D75" s="60" t="s">
        <v>208</v>
      </c>
      <c r="E75" s="257"/>
      <c r="F75" s="69">
        <v>180</v>
      </c>
      <c r="G75" s="82">
        <v>6.6666666666666666E-2</v>
      </c>
      <c r="H75" s="69">
        <f t="shared" si="3"/>
        <v>12</v>
      </c>
      <c r="I75" s="104"/>
    </row>
    <row r="76" spans="1:9">
      <c r="A76" s="254"/>
      <c r="B76" s="257"/>
      <c r="C76" s="52" t="s">
        <v>189</v>
      </c>
      <c r="D76" s="60" t="s">
        <v>209</v>
      </c>
      <c r="E76" s="257"/>
      <c r="F76" s="69">
        <v>150</v>
      </c>
      <c r="G76" s="82">
        <v>6.6666666666666666E-2</v>
      </c>
      <c r="H76" s="69">
        <f t="shared" si="3"/>
        <v>10</v>
      </c>
      <c r="I76" s="104"/>
    </row>
    <row r="77" spans="1:9" ht="28">
      <c r="A77" s="254"/>
      <c r="B77" s="257"/>
      <c r="C77" s="52" t="s">
        <v>189</v>
      </c>
      <c r="D77" s="60" t="s">
        <v>210</v>
      </c>
      <c r="E77" s="258"/>
      <c r="F77" s="69">
        <v>200</v>
      </c>
      <c r="G77" s="82">
        <v>6.6666666666666666E-2</v>
      </c>
      <c r="H77" s="69">
        <f t="shared" si="3"/>
        <v>13.333333333333334</v>
      </c>
      <c r="I77" s="104"/>
    </row>
    <row r="78" spans="1:9" ht="42.5">
      <c r="A78" s="254"/>
      <c r="B78" s="257"/>
      <c r="C78" s="52" t="s">
        <v>189</v>
      </c>
      <c r="D78" s="60" t="s">
        <v>211</v>
      </c>
      <c r="E78" s="84" t="s">
        <v>198</v>
      </c>
      <c r="F78" s="74">
        <v>1200</v>
      </c>
      <c r="G78" s="82">
        <f t="shared" si="8"/>
        <v>6.6666666666666666E-2</v>
      </c>
      <c r="H78" s="74">
        <f t="shared" si="3"/>
        <v>80</v>
      </c>
      <c r="I78" s="104"/>
    </row>
    <row r="79" spans="1:9">
      <c r="A79" s="254"/>
      <c r="B79" s="257"/>
      <c r="C79" s="52" t="s">
        <v>189</v>
      </c>
      <c r="D79" s="60" t="s">
        <v>212</v>
      </c>
      <c r="E79" s="52" t="s">
        <v>164</v>
      </c>
      <c r="F79" s="74">
        <v>300</v>
      </c>
      <c r="G79" s="82">
        <f t="shared" si="8"/>
        <v>6.6666666666666666E-2</v>
      </c>
      <c r="H79" s="74">
        <f t="shared" si="3"/>
        <v>20</v>
      </c>
      <c r="I79" s="104"/>
    </row>
    <row r="80" spans="1:9">
      <c r="A80" s="254"/>
      <c r="B80" s="257"/>
      <c r="C80" s="52" t="s">
        <v>189</v>
      </c>
      <c r="D80" s="60" t="s">
        <v>213</v>
      </c>
      <c r="E80" s="52" t="s">
        <v>152</v>
      </c>
      <c r="F80" s="74">
        <v>100</v>
      </c>
      <c r="G80" s="82">
        <f>1/60</f>
        <v>1.6666666666666666E-2</v>
      </c>
      <c r="H80" s="74">
        <f t="shared" si="3"/>
        <v>1.6666666666666667</v>
      </c>
      <c r="I80" s="104"/>
    </row>
    <row r="81" spans="1:9" ht="14.5">
      <c r="A81" s="254"/>
      <c r="B81" s="257"/>
      <c r="C81" s="52" t="s">
        <v>189</v>
      </c>
      <c r="D81" s="60" t="s">
        <v>214</v>
      </c>
      <c r="E81" s="52" t="s">
        <v>152</v>
      </c>
      <c r="F81" s="74">
        <v>100</v>
      </c>
      <c r="G81" s="82">
        <f>1/60</f>
        <v>1.6666666666666666E-2</v>
      </c>
      <c r="H81" s="74">
        <f t="shared" si="3"/>
        <v>1.6666666666666667</v>
      </c>
      <c r="I81" s="104"/>
    </row>
    <row r="82" spans="1:9" ht="28.5" thickBot="1">
      <c r="A82" s="255"/>
      <c r="B82" s="263"/>
      <c r="C82" s="97" t="s">
        <v>215</v>
      </c>
      <c r="D82" s="96" t="s">
        <v>216</v>
      </c>
      <c r="E82" s="97" t="s">
        <v>217</v>
      </c>
      <c r="F82" s="98">
        <v>360</v>
      </c>
      <c r="G82" s="99">
        <f t="shared" si="8"/>
        <v>6.6666666666666666E-2</v>
      </c>
      <c r="H82" s="98">
        <f t="shared" si="3"/>
        <v>24</v>
      </c>
      <c r="I82" s="108"/>
    </row>
  </sheetData>
  <mergeCells count="28">
    <mergeCell ref="A2:A3"/>
    <mergeCell ref="B2:B3"/>
    <mergeCell ref="D23:D24"/>
    <mergeCell ref="C36:C42"/>
    <mergeCell ref="E66:E77"/>
    <mergeCell ref="A43:A61"/>
    <mergeCell ref="B43:B58"/>
    <mergeCell ref="B59:B61"/>
    <mergeCell ref="A62:A63"/>
    <mergeCell ref="B62:B63"/>
    <mergeCell ref="B64:B82"/>
    <mergeCell ref="A64:A82"/>
    <mergeCell ref="C62:C63"/>
    <mergeCell ref="C43:C58"/>
    <mergeCell ref="C59:C61"/>
    <mergeCell ref="A36:A42"/>
    <mergeCell ref="D31:D34"/>
    <mergeCell ref="D25:D27"/>
    <mergeCell ref="D28:D30"/>
    <mergeCell ref="A7:A8"/>
    <mergeCell ref="B7:B8"/>
    <mergeCell ref="A14:A35"/>
    <mergeCell ref="C23:C27"/>
    <mergeCell ref="A11:B11"/>
    <mergeCell ref="A12:B12"/>
    <mergeCell ref="C14:C22"/>
    <mergeCell ref="D14:D16"/>
    <mergeCell ref="D17:D19"/>
  </mergeCells>
  <phoneticPr fontId="1" type="noConversion"/>
  <pageMargins left="0.70866141732283472" right="0.70866141732283472" top="0.39370078740157483" bottom="0.39370078740157483" header="0.31496062992125984" footer="0.31496062992125984"/>
  <pageSetup paperSize="9" scale="72" fitToHeight="2" orientation="landscape" r:id="rId1"/>
  <headerFooter>
    <oddFooter>&amp;L&amp;1#&amp;"Calibri"&amp;10&amp;K737373Caterpillar: Confidential Green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41"/>
  <sheetViews>
    <sheetView view="pageBreakPreview" zoomScaleNormal="100" zoomScaleSheetLayoutView="10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E4" sqref="E4:E8"/>
    </sheetView>
  </sheetViews>
  <sheetFormatPr defaultColWidth="8.90625" defaultRowHeight="14.5"/>
  <cols>
    <col min="2" max="2" width="14.08984375" style="5" bestFit="1" customWidth="1"/>
    <col min="3" max="3" width="14.08984375" bestFit="1" customWidth="1"/>
    <col min="4" max="4" width="31.08984375" customWidth="1"/>
    <col min="5" max="6" width="8.90625" style="5" customWidth="1"/>
    <col min="7" max="7" width="13.6328125" style="7" customWidth="1"/>
    <col min="8" max="8" width="13.6328125" style="6" customWidth="1"/>
    <col min="9" max="9" width="8.90625" customWidth="1"/>
  </cols>
  <sheetData>
    <row r="1" spans="1:10" ht="32.25" customHeight="1">
      <c r="A1" s="225" t="s">
        <v>110</v>
      </c>
      <c r="B1" s="225"/>
      <c r="C1" s="225"/>
      <c r="D1" s="225"/>
      <c r="E1" s="225"/>
      <c r="F1" s="225"/>
      <c r="G1" s="225"/>
      <c r="H1" s="225"/>
      <c r="I1" s="225"/>
      <c r="J1" s="225"/>
    </row>
    <row r="2" spans="1:10" s="4" customFormat="1" ht="29">
      <c r="A2" s="30" t="s">
        <v>48</v>
      </c>
      <c r="B2" s="28" t="s">
        <v>39</v>
      </c>
      <c r="C2" s="28" t="s">
        <v>40</v>
      </c>
      <c r="D2" s="28" t="s">
        <v>108</v>
      </c>
      <c r="E2" s="28" t="s">
        <v>2</v>
      </c>
      <c r="F2" s="28" t="s">
        <v>43</v>
      </c>
      <c r="G2" s="29" t="s">
        <v>21</v>
      </c>
      <c r="H2" s="29" t="s">
        <v>22</v>
      </c>
      <c r="I2" s="30" t="s">
        <v>24</v>
      </c>
      <c r="J2" s="30" t="s">
        <v>105</v>
      </c>
    </row>
    <row r="3" spans="1:10" s="4" customFormat="1">
      <c r="A3" s="222" t="s">
        <v>107</v>
      </c>
      <c r="B3" s="31" t="s">
        <v>42</v>
      </c>
      <c r="C3" s="33"/>
      <c r="D3" s="31"/>
      <c r="E3" s="31">
        <f>SUM(E4:E8)</f>
        <v>340.5</v>
      </c>
      <c r="F3" s="31"/>
      <c r="G3" s="32"/>
      <c r="H3" s="32"/>
      <c r="I3" s="33"/>
      <c r="J3" s="34">
        <f>E3/60</f>
        <v>5.6749999999999998</v>
      </c>
    </row>
    <row r="4" spans="1:10" s="4" customFormat="1">
      <c r="A4" s="223"/>
      <c r="B4" s="31" t="s">
        <v>71</v>
      </c>
      <c r="C4" s="33"/>
      <c r="D4" s="31"/>
      <c r="E4" s="31">
        <f>SUM(G9:G10,G12:G13,G15:G19,G21:G22,G24:G25,G27:G28)</f>
        <v>123</v>
      </c>
      <c r="F4" s="31"/>
      <c r="G4" s="32"/>
      <c r="H4" s="32"/>
      <c r="I4" s="33"/>
      <c r="J4" s="34">
        <f>E4/60</f>
        <v>2.0499999999999998</v>
      </c>
    </row>
    <row r="5" spans="1:10" s="4" customFormat="1">
      <c r="A5" s="223"/>
      <c r="B5" s="31" t="s">
        <v>109</v>
      </c>
      <c r="C5" s="33"/>
      <c r="D5" s="31"/>
      <c r="E5" s="31">
        <f>SUM(G11,G14,G20,G23,G26,G29)</f>
        <v>45.5</v>
      </c>
      <c r="F5" s="31"/>
      <c r="G5" s="32"/>
      <c r="H5" s="32"/>
      <c r="I5" s="33"/>
      <c r="J5" s="34">
        <f t="shared" ref="J5:J8" si="0">E5/60</f>
        <v>0.7583333333333333</v>
      </c>
    </row>
    <row r="6" spans="1:10" s="4" customFormat="1">
      <c r="A6" s="223"/>
      <c r="B6" s="31" t="s">
        <v>19</v>
      </c>
      <c r="C6" s="33"/>
      <c r="D6" s="31"/>
      <c r="E6" s="31">
        <f>SUM(G30:G31)</f>
        <v>10</v>
      </c>
      <c r="F6" s="31"/>
      <c r="G6" s="32"/>
      <c r="H6" s="32"/>
      <c r="I6" s="33"/>
      <c r="J6" s="34">
        <f t="shared" si="0"/>
        <v>0.16666666666666666</v>
      </c>
    </row>
    <row r="7" spans="1:10" s="4" customFormat="1">
      <c r="A7" s="223"/>
      <c r="B7" s="31" t="s">
        <v>20</v>
      </c>
      <c r="C7" s="33"/>
      <c r="D7" s="31"/>
      <c r="E7" s="31">
        <f>SUM(G32:G34)</f>
        <v>80</v>
      </c>
      <c r="F7" s="31"/>
      <c r="G7" s="32"/>
      <c r="H7" s="32"/>
      <c r="I7" s="33"/>
      <c r="J7" s="34">
        <f t="shared" si="0"/>
        <v>1.3333333333333333</v>
      </c>
    </row>
    <row r="8" spans="1:10" s="4" customFormat="1">
      <c r="A8" s="223"/>
      <c r="B8" s="31" t="s">
        <v>27</v>
      </c>
      <c r="C8" s="33"/>
      <c r="D8" s="31"/>
      <c r="E8" s="31">
        <f>SUM(G35:G41)</f>
        <v>82</v>
      </c>
      <c r="F8" s="31"/>
      <c r="G8" s="32"/>
      <c r="H8" s="32"/>
      <c r="I8" s="33"/>
      <c r="J8" s="34">
        <f t="shared" si="0"/>
        <v>1.3666666666666667</v>
      </c>
    </row>
    <row r="9" spans="1:10">
      <c r="A9" s="226" t="s">
        <v>44</v>
      </c>
      <c r="B9" s="227" t="s">
        <v>38</v>
      </c>
      <c r="C9" s="38" t="s">
        <v>3</v>
      </c>
      <c r="D9" s="38" t="s">
        <v>130</v>
      </c>
      <c r="E9" s="39">
        <v>10</v>
      </c>
      <c r="F9" s="40">
        <v>1</v>
      </c>
      <c r="G9" s="41">
        <f>F9*E9</f>
        <v>10</v>
      </c>
      <c r="H9" s="41">
        <f t="shared" ref="H9:H11" si="1">E9*1</f>
        <v>10</v>
      </c>
      <c r="I9" s="27"/>
    </row>
    <row r="10" spans="1:10">
      <c r="A10" s="226"/>
      <c r="B10" s="228"/>
      <c r="C10" s="42" t="s">
        <v>4</v>
      </c>
      <c r="D10" s="42" t="s">
        <v>131</v>
      </c>
      <c r="E10" s="39">
        <v>10</v>
      </c>
      <c r="F10" s="39">
        <v>1</v>
      </c>
      <c r="G10" s="43">
        <f t="shared" ref="G10:G41" si="2">F10*E10</f>
        <v>10</v>
      </c>
      <c r="H10" s="43">
        <f t="shared" si="1"/>
        <v>10</v>
      </c>
      <c r="I10" s="1"/>
    </row>
    <row r="11" spans="1:10">
      <c r="A11" s="226"/>
      <c r="B11" s="228"/>
      <c r="C11" s="42" t="s">
        <v>5</v>
      </c>
      <c r="D11" s="42" t="s">
        <v>132</v>
      </c>
      <c r="E11" s="39">
        <v>10</v>
      </c>
      <c r="F11" s="39">
        <v>1</v>
      </c>
      <c r="G11" s="43">
        <f t="shared" si="2"/>
        <v>10</v>
      </c>
      <c r="H11" s="43">
        <f t="shared" si="1"/>
        <v>10</v>
      </c>
      <c r="I11" s="1"/>
    </row>
    <row r="12" spans="1:10">
      <c r="A12" s="226" t="s">
        <v>45</v>
      </c>
      <c r="B12" s="228"/>
      <c r="C12" s="42" t="s">
        <v>3</v>
      </c>
      <c r="D12" s="42" t="s">
        <v>11</v>
      </c>
      <c r="E12" s="39">
        <v>5</v>
      </c>
      <c r="F12" s="39">
        <v>1</v>
      </c>
      <c r="G12" s="43">
        <f t="shared" si="2"/>
        <v>5</v>
      </c>
      <c r="H12" s="43">
        <f>E12*2</f>
        <v>10</v>
      </c>
      <c r="I12" s="1"/>
    </row>
    <row r="13" spans="1:10">
      <c r="A13" s="226"/>
      <c r="B13" s="228"/>
      <c r="C13" s="42" t="s">
        <v>4</v>
      </c>
      <c r="D13" s="42" t="s">
        <v>12</v>
      </c>
      <c r="E13" s="39">
        <v>5</v>
      </c>
      <c r="F13" s="39">
        <v>1</v>
      </c>
      <c r="G13" s="43">
        <f t="shared" si="2"/>
        <v>5</v>
      </c>
      <c r="H13" s="43">
        <f t="shared" ref="H13" si="3">E13*2</f>
        <v>10</v>
      </c>
      <c r="I13" s="1"/>
    </row>
    <row r="14" spans="1:10">
      <c r="A14" s="226"/>
      <c r="B14" s="228"/>
      <c r="C14" s="42" t="s">
        <v>5</v>
      </c>
      <c r="D14" s="42" t="s">
        <v>13</v>
      </c>
      <c r="E14" s="39">
        <v>5</v>
      </c>
      <c r="F14" s="39">
        <v>1</v>
      </c>
      <c r="G14" s="43">
        <f t="shared" si="2"/>
        <v>5</v>
      </c>
      <c r="H14" s="43">
        <f>E14*1</f>
        <v>5</v>
      </c>
      <c r="I14" s="1"/>
    </row>
    <row r="15" spans="1:10">
      <c r="A15" s="226" t="s">
        <v>46</v>
      </c>
      <c r="B15" s="228"/>
      <c r="C15" s="15" t="s">
        <v>3</v>
      </c>
      <c r="D15" s="15" t="s">
        <v>6</v>
      </c>
      <c r="E15" s="16">
        <v>2</v>
      </c>
      <c r="F15" s="16">
        <v>2</v>
      </c>
      <c r="G15" s="17">
        <f t="shared" si="2"/>
        <v>4</v>
      </c>
      <c r="H15" s="17">
        <f>E15*2</f>
        <v>4</v>
      </c>
      <c r="I15" s="1"/>
    </row>
    <row r="16" spans="1:10">
      <c r="A16" s="226"/>
      <c r="B16" s="228"/>
      <c r="C16" s="15" t="s">
        <v>3</v>
      </c>
      <c r="D16" s="15" t="s">
        <v>123</v>
      </c>
      <c r="E16" s="16"/>
      <c r="F16" s="16"/>
      <c r="G16" s="17"/>
      <c r="H16" s="17"/>
      <c r="I16" s="1"/>
    </row>
    <row r="17" spans="1:9">
      <c r="A17" s="226"/>
      <c r="B17" s="228"/>
      <c r="C17" s="15" t="s">
        <v>4</v>
      </c>
      <c r="D17" s="15" t="s">
        <v>7</v>
      </c>
      <c r="E17" s="16">
        <v>12</v>
      </c>
      <c r="F17" s="16">
        <v>2</v>
      </c>
      <c r="G17" s="17">
        <f t="shared" si="2"/>
        <v>24</v>
      </c>
      <c r="H17" s="17">
        <f t="shared" ref="H17:H19" si="4">E17*2</f>
        <v>24</v>
      </c>
      <c r="I17" s="1"/>
    </row>
    <row r="18" spans="1:9">
      <c r="A18" s="226"/>
      <c r="B18" s="228"/>
      <c r="C18" s="15" t="s">
        <v>3</v>
      </c>
      <c r="D18" s="15" t="s">
        <v>25</v>
      </c>
      <c r="E18" s="16">
        <v>3</v>
      </c>
      <c r="F18" s="16">
        <v>2</v>
      </c>
      <c r="G18" s="17">
        <f t="shared" si="2"/>
        <v>6</v>
      </c>
      <c r="H18" s="17">
        <f>E18*6</f>
        <v>18</v>
      </c>
      <c r="I18" s="1"/>
    </row>
    <row r="19" spans="1:9">
      <c r="A19" s="226"/>
      <c r="B19" s="228"/>
      <c r="C19" s="15" t="s">
        <v>4</v>
      </c>
      <c r="D19" s="15" t="s">
        <v>26</v>
      </c>
      <c r="E19" s="16">
        <v>3</v>
      </c>
      <c r="F19" s="16">
        <v>2</v>
      </c>
      <c r="G19" s="17">
        <f t="shared" si="2"/>
        <v>6</v>
      </c>
      <c r="H19" s="17">
        <f t="shared" si="4"/>
        <v>6</v>
      </c>
      <c r="I19" s="1"/>
    </row>
    <row r="20" spans="1:9">
      <c r="A20" s="226"/>
      <c r="B20" s="228"/>
      <c r="C20" s="15" t="s">
        <v>5</v>
      </c>
      <c r="D20" s="15" t="s">
        <v>23</v>
      </c>
      <c r="E20" s="16">
        <v>2</v>
      </c>
      <c r="F20" s="16">
        <v>2</v>
      </c>
      <c r="G20" s="17">
        <f t="shared" si="2"/>
        <v>4</v>
      </c>
      <c r="H20" s="17">
        <f>E20*3</f>
        <v>6</v>
      </c>
      <c r="I20" s="1"/>
    </row>
    <row r="21" spans="1:9">
      <c r="A21" s="226"/>
      <c r="B21" s="228"/>
      <c r="C21" s="15" t="s">
        <v>3</v>
      </c>
      <c r="D21" s="15" t="s">
        <v>8</v>
      </c>
      <c r="E21" s="16">
        <v>1.5</v>
      </c>
      <c r="F21" s="16">
        <v>3</v>
      </c>
      <c r="G21" s="17">
        <f t="shared" si="2"/>
        <v>4.5</v>
      </c>
      <c r="H21" s="17">
        <f>E21*3</f>
        <v>4.5</v>
      </c>
      <c r="I21" s="1"/>
    </row>
    <row r="22" spans="1:9">
      <c r="A22" s="226"/>
      <c r="B22" s="228"/>
      <c r="C22" s="15" t="s">
        <v>4</v>
      </c>
      <c r="D22" s="15" t="s">
        <v>8</v>
      </c>
      <c r="E22" s="16">
        <v>1.5</v>
      </c>
      <c r="F22" s="16">
        <v>3</v>
      </c>
      <c r="G22" s="17">
        <f t="shared" si="2"/>
        <v>4.5</v>
      </c>
      <c r="H22" s="17">
        <f t="shared" ref="H22:H26" si="5">E22*3</f>
        <v>4.5</v>
      </c>
      <c r="I22" s="1"/>
    </row>
    <row r="23" spans="1:9">
      <c r="A23" s="226"/>
      <c r="B23" s="228"/>
      <c r="C23" s="15" t="s">
        <v>5</v>
      </c>
      <c r="D23" s="15" t="s">
        <v>8</v>
      </c>
      <c r="E23" s="16">
        <v>1.5</v>
      </c>
      <c r="F23" s="16">
        <v>3</v>
      </c>
      <c r="G23" s="17">
        <f t="shared" si="2"/>
        <v>4.5</v>
      </c>
      <c r="H23" s="17">
        <f t="shared" si="5"/>
        <v>4.5</v>
      </c>
      <c r="I23" s="1"/>
    </row>
    <row r="24" spans="1:9">
      <c r="A24" s="226"/>
      <c r="B24" s="228"/>
      <c r="C24" s="15" t="s">
        <v>3</v>
      </c>
      <c r="D24" s="15" t="s">
        <v>14</v>
      </c>
      <c r="E24" s="16">
        <v>4</v>
      </c>
      <c r="F24" s="16">
        <v>3</v>
      </c>
      <c r="G24" s="17">
        <f t="shared" si="2"/>
        <v>12</v>
      </c>
      <c r="H24" s="17">
        <f t="shared" si="5"/>
        <v>12</v>
      </c>
      <c r="I24" s="1"/>
    </row>
    <row r="25" spans="1:9">
      <c r="A25" s="226"/>
      <c r="B25" s="228"/>
      <c r="C25" s="15" t="s">
        <v>4</v>
      </c>
      <c r="D25" s="15" t="s">
        <v>14</v>
      </c>
      <c r="E25" s="16">
        <v>4</v>
      </c>
      <c r="F25" s="16">
        <v>3</v>
      </c>
      <c r="G25" s="17">
        <f t="shared" si="2"/>
        <v>12</v>
      </c>
      <c r="H25" s="17">
        <f t="shared" si="5"/>
        <v>12</v>
      </c>
      <c r="I25" s="1"/>
    </row>
    <row r="26" spans="1:9">
      <c r="A26" s="226"/>
      <c r="B26" s="228"/>
      <c r="C26" s="15" t="s">
        <v>5</v>
      </c>
      <c r="D26" s="15" t="s">
        <v>14</v>
      </c>
      <c r="E26" s="16">
        <v>4</v>
      </c>
      <c r="F26" s="16">
        <v>3</v>
      </c>
      <c r="G26" s="17">
        <f t="shared" si="2"/>
        <v>12</v>
      </c>
      <c r="H26" s="17">
        <f t="shared" si="5"/>
        <v>12</v>
      </c>
      <c r="I26" s="1"/>
    </row>
    <row r="27" spans="1:9">
      <c r="A27" s="226" t="s">
        <v>47</v>
      </c>
      <c r="B27" s="228"/>
      <c r="C27" s="15" t="s">
        <v>15</v>
      </c>
      <c r="D27" s="15" t="s">
        <v>18</v>
      </c>
      <c r="E27" s="16">
        <v>10</v>
      </c>
      <c r="F27" s="16">
        <v>1</v>
      </c>
      <c r="G27" s="17">
        <f t="shared" si="2"/>
        <v>10</v>
      </c>
      <c r="H27" s="17">
        <f>E27*1</f>
        <v>10</v>
      </c>
      <c r="I27" s="1"/>
    </row>
    <row r="28" spans="1:9">
      <c r="A28" s="226"/>
      <c r="B28" s="228"/>
      <c r="C28" s="15" t="s">
        <v>16</v>
      </c>
      <c r="D28" s="15" t="s">
        <v>18</v>
      </c>
      <c r="E28" s="16">
        <v>10</v>
      </c>
      <c r="F28" s="16">
        <v>1</v>
      </c>
      <c r="G28" s="17">
        <f t="shared" si="2"/>
        <v>10</v>
      </c>
      <c r="H28" s="17">
        <f>E28*1</f>
        <v>10</v>
      </c>
      <c r="I28" s="1"/>
    </row>
    <row r="29" spans="1:9">
      <c r="A29" s="226"/>
      <c r="B29" s="228"/>
      <c r="C29" s="15" t="s">
        <v>17</v>
      </c>
      <c r="D29" s="15" t="s">
        <v>18</v>
      </c>
      <c r="E29" s="16">
        <v>10</v>
      </c>
      <c r="F29" s="16">
        <v>1</v>
      </c>
      <c r="G29" s="17">
        <f t="shared" si="2"/>
        <v>10</v>
      </c>
      <c r="H29" s="17">
        <f>E29*1</f>
        <v>10</v>
      </c>
      <c r="I29" s="1"/>
    </row>
    <row r="30" spans="1:9">
      <c r="A30" s="226"/>
      <c r="B30" s="280" t="s">
        <v>19</v>
      </c>
      <c r="C30" s="280" t="s">
        <v>19</v>
      </c>
      <c r="D30" s="10" t="s">
        <v>18</v>
      </c>
      <c r="E30" s="11">
        <v>10</v>
      </c>
      <c r="F30" s="11">
        <v>1</v>
      </c>
      <c r="G30" s="12">
        <f t="shared" si="2"/>
        <v>10</v>
      </c>
      <c r="H30" s="12">
        <f>E30*1</f>
        <v>10</v>
      </c>
      <c r="I30" s="1"/>
    </row>
    <row r="31" spans="1:9">
      <c r="A31" s="226"/>
      <c r="B31" s="281"/>
      <c r="C31" s="281"/>
      <c r="D31" s="10" t="s">
        <v>133</v>
      </c>
      <c r="E31" s="11">
        <v>10</v>
      </c>
      <c r="F31" s="11">
        <v>0</v>
      </c>
      <c r="G31" s="12">
        <f t="shared" si="2"/>
        <v>0</v>
      </c>
      <c r="H31" s="12">
        <f t="shared" ref="H31" si="6">E31*1</f>
        <v>10</v>
      </c>
      <c r="I31" s="1"/>
    </row>
    <row r="32" spans="1:9">
      <c r="A32" s="226"/>
      <c r="B32" s="226" t="s">
        <v>20</v>
      </c>
      <c r="C32" s="10" t="s">
        <v>20</v>
      </c>
      <c r="D32" s="10" t="s">
        <v>18</v>
      </c>
      <c r="E32" s="11">
        <v>10</v>
      </c>
      <c r="F32" s="11">
        <v>1</v>
      </c>
      <c r="G32" s="12">
        <f t="shared" si="2"/>
        <v>10</v>
      </c>
      <c r="H32" s="12">
        <f>E32*1</f>
        <v>10</v>
      </c>
      <c r="I32" s="1"/>
    </row>
    <row r="33" spans="1:9">
      <c r="A33" s="226"/>
      <c r="B33" s="226"/>
      <c r="C33" s="10" t="s">
        <v>20</v>
      </c>
      <c r="D33" s="10" t="s">
        <v>35</v>
      </c>
      <c r="E33" s="11">
        <v>2</v>
      </c>
      <c r="F33" s="11">
        <v>10</v>
      </c>
      <c r="G33" s="12">
        <f t="shared" si="2"/>
        <v>20</v>
      </c>
      <c r="H33" s="12">
        <f>E33*10</f>
        <v>20</v>
      </c>
      <c r="I33" s="1"/>
    </row>
    <row r="34" spans="1:9">
      <c r="A34" s="226"/>
      <c r="B34" s="226"/>
      <c r="C34" s="10" t="s">
        <v>20</v>
      </c>
      <c r="D34" s="10" t="s">
        <v>36</v>
      </c>
      <c r="E34" s="11">
        <v>5</v>
      </c>
      <c r="F34" s="11">
        <v>10</v>
      </c>
      <c r="G34" s="12">
        <f t="shared" si="2"/>
        <v>50</v>
      </c>
      <c r="H34" s="12">
        <f>E34*10</f>
        <v>50</v>
      </c>
      <c r="I34" s="1"/>
    </row>
    <row r="35" spans="1:9">
      <c r="A35" s="226" t="s">
        <v>46</v>
      </c>
      <c r="B35" s="226" t="s">
        <v>27</v>
      </c>
      <c r="C35" s="1" t="s">
        <v>27</v>
      </c>
      <c r="D35" s="10" t="s">
        <v>31</v>
      </c>
      <c r="E35" s="11">
        <v>5</v>
      </c>
      <c r="F35" s="11">
        <v>2</v>
      </c>
      <c r="G35" s="12">
        <f t="shared" si="2"/>
        <v>10</v>
      </c>
      <c r="H35" s="14"/>
      <c r="I35" s="1"/>
    </row>
    <row r="36" spans="1:9">
      <c r="A36" s="226"/>
      <c r="B36" s="226"/>
      <c r="C36" s="1" t="s">
        <v>27</v>
      </c>
      <c r="D36" s="10" t="s">
        <v>28</v>
      </c>
      <c r="E36" s="11">
        <v>1</v>
      </c>
      <c r="F36" s="11">
        <v>2</v>
      </c>
      <c r="G36" s="12">
        <f t="shared" si="2"/>
        <v>2</v>
      </c>
      <c r="H36" s="14"/>
      <c r="I36" s="1"/>
    </row>
    <row r="37" spans="1:9">
      <c r="A37" s="226"/>
      <c r="B37" s="226"/>
      <c r="C37" s="1" t="s">
        <v>27</v>
      </c>
      <c r="D37" s="10" t="s">
        <v>29</v>
      </c>
      <c r="E37" s="11">
        <v>2.5</v>
      </c>
      <c r="F37" s="11">
        <v>2</v>
      </c>
      <c r="G37" s="12">
        <f t="shared" si="2"/>
        <v>5</v>
      </c>
      <c r="H37" s="14"/>
      <c r="I37" s="1"/>
    </row>
    <row r="38" spans="1:9">
      <c r="A38" s="226"/>
      <c r="B38" s="226"/>
      <c r="C38" s="1" t="s">
        <v>27</v>
      </c>
      <c r="D38" s="10" t="s">
        <v>30</v>
      </c>
      <c r="E38" s="11">
        <v>2.5</v>
      </c>
      <c r="F38" s="11">
        <v>2</v>
      </c>
      <c r="G38" s="12">
        <f t="shared" si="2"/>
        <v>5</v>
      </c>
      <c r="H38" s="14"/>
      <c r="I38" s="1"/>
    </row>
    <row r="39" spans="1:9">
      <c r="A39" s="226"/>
      <c r="B39" s="226"/>
      <c r="C39" s="1" t="s">
        <v>27</v>
      </c>
      <c r="D39" s="10" t="s">
        <v>124</v>
      </c>
      <c r="E39" s="11">
        <v>10</v>
      </c>
      <c r="F39" s="11">
        <v>2</v>
      </c>
      <c r="G39" s="12">
        <f t="shared" si="2"/>
        <v>20</v>
      </c>
      <c r="H39" s="14"/>
      <c r="I39" s="1"/>
    </row>
    <row r="40" spans="1:9">
      <c r="A40" s="226" t="s">
        <v>47</v>
      </c>
      <c r="B40" s="226"/>
      <c r="C40" s="1" t="s">
        <v>27</v>
      </c>
      <c r="D40" s="10" t="s">
        <v>18</v>
      </c>
      <c r="E40" s="11">
        <v>10</v>
      </c>
      <c r="F40" s="11">
        <v>1</v>
      </c>
      <c r="G40" s="12">
        <f t="shared" si="2"/>
        <v>10</v>
      </c>
      <c r="H40" s="14"/>
      <c r="I40" s="1"/>
    </row>
    <row r="41" spans="1:9">
      <c r="A41" s="226"/>
      <c r="B41" s="226"/>
      <c r="C41" s="1" t="s">
        <v>27</v>
      </c>
      <c r="D41" s="10" t="s">
        <v>33</v>
      </c>
      <c r="E41" s="11">
        <v>10</v>
      </c>
      <c r="F41" s="11">
        <v>3</v>
      </c>
      <c r="G41" s="12">
        <f t="shared" si="2"/>
        <v>30</v>
      </c>
      <c r="H41" s="14"/>
      <c r="I41" s="1"/>
    </row>
  </sheetData>
  <mergeCells count="13">
    <mergeCell ref="A35:A39"/>
    <mergeCell ref="B35:B41"/>
    <mergeCell ref="A40:A41"/>
    <mergeCell ref="B30:B31"/>
    <mergeCell ref="A1:J1"/>
    <mergeCell ref="A3:A8"/>
    <mergeCell ref="A9:A11"/>
    <mergeCell ref="B9:B29"/>
    <mergeCell ref="A12:A14"/>
    <mergeCell ref="A15:A26"/>
    <mergeCell ref="A27:A34"/>
    <mergeCell ref="B32:B34"/>
    <mergeCell ref="C30:C31"/>
  </mergeCells>
  <phoneticPr fontId="1" type="noConversion"/>
  <pageMargins left="0.7" right="0.7" top="0.75" bottom="0.75" header="0.3" footer="0.3"/>
  <pageSetup paperSize="9" scale="77" orientation="landscape" r:id="rId1"/>
  <headerFooter>
    <oddFooter>&amp;L&amp;1#&amp;"Calibri"&amp;10&amp;K737373Caterpillar: Confidential Green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Siwei</vt:lpstr>
      <vt:lpstr>Sheet3</vt:lpstr>
      <vt:lpstr>QG</vt:lpstr>
      <vt:lpstr>2025-1&amp;2&amp;3线</vt:lpstr>
      <vt:lpstr>2025-4&amp;5&amp;轮线</vt:lpstr>
      <vt:lpstr>Sheet1</vt:lpstr>
      <vt:lpstr>20200227</vt:lpstr>
      <vt:lpstr>QG 20171011-Line345</vt:lpstr>
      <vt:lpstr>'20200227'!Print_Area</vt:lpstr>
      <vt:lpstr>'2025-1&amp;2&amp;3线'!Print_Area</vt:lpstr>
      <vt:lpstr>'2025-4&amp;5&amp;轮线'!Print_Area</vt:lpstr>
      <vt:lpstr>QG!Print_Area</vt:lpstr>
      <vt:lpstr>'QG 20171011-Line345'!Print_Area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2025-07-10T02:56:30Z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2021-08-17T07:41:54Z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/>
  </property>
  <property fmtid="{D5CDD505-2E9C-101B-9397-08002B2CF9AE}" pid="8" name="MSIP_Label_fb5e2db6-eecf-4aa2-8fc3-174bf94bce19_ContentBits">
    <vt:lpwstr>2</vt:lpwstr>
  </property>
</Properties>
</file>